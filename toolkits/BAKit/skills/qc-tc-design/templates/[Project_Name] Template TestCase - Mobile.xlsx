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est plan&amp;report" sheetId="2" r:id="rId6"/>
    <sheet state="visible" name="Revisions" sheetId="3" r:id="rId7"/>
    <sheet state="visible" name="Test Cases_Template" sheetId="4" r:id="rId8"/>
    <sheet state="visible" name="Template báo cáo" sheetId="5" r:id="rId9"/>
    <sheet state="visible" name="WFDesign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tc={3b7565e2-5e8e-4831-9e9e-d1bbb9122a7d}</author>
    <author>tc={46f4ad33-7fd1-4755-a567-b6c7112fd4aa}</author>
  </authors>
  <commentList>
    <comment authorId="0" xr:uid="{3b7565e2-5e8e-4831-9e9e-d1bbb9122a7d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HÀ: em hỏi Vân thì Vân bảo là bên họ sẽ clone cho mình 1 web base, mình code trên đó
-&gt; sau khi done hết thì họ copy code của mình vào hệ thống của họ
nhưng không biết là code tất cả trên 1 web base này hay sẽ có nhiều web base tương ứng với từng module nên em thêm mục này ạ
</t>
      </text>
    </comment>
    <comment authorId="1" xr:uid="{46f4ad33-7fd1-4755-a567-b6c7112fd4a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bỏ cột này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tc={91fc7207-431c-4c09-8d50-dd19841e94ac}</author>
    <author>tc={a58b7480-c7cb-4ed6-a5b0-b7cde38bd3b6}</author>
  </authors>
  <commentList>
    <comment authorId="0" xr:uid="{91fc7207-431c-4c09-8d50-dd19841e94ac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bỏ cột này
</t>
      </text>
    </comment>
    <comment authorId="1" xr:uid="{a58b7480-c7cb-4ed6-a5b0-b7cde38bd3b6}" ref="Q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lại công thức này cho c nhé
Reply:
	công thức total time em để là tổng time est nhá chị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tc={3b7dde74-a9bc-44fb-bac8-cd99221ce66c}</author>
    <author>tc={f3ada74b-a3e4-48d1-a4a0-2af22d1fb9cb}</author>
  </authors>
  <commentList>
    <comment authorId="0" xr:uid="{3b7dde74-a9bc-44fb-bac8-cd99221ce66c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thêm cho c ngày execute test
</t>
      </text>
    </comment>
    <comment authorId="1" xr:uid="{f3ada74b-a3e4-48d1-a4a0-2af22d1fb9cb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thiếu status = Untested
</t>
      </text>
    </comment>
  </commentList>
</comments>
</file>

<file path=xl/sharedStrings.xml><?xml version="1.0" encoding="utf-8"?>
<sst xmlns="http://schemas.openxmlformats.org/spreadsheetml/2006/main" count="137" uniqueCount="93">
  <si>
    <t>Test Case</t>
  </si>
  <si>
    <t>&lt;MBFS - Báo cáo &amp; Thống kê BI&gt;</t>
  </si>
  <si>
    <t>Project Name</t>
  </si>
  <si>
    <t>Reviewer</t>
  </si>
  <si>
    <t>Function Name (Module)</t>
  </si>
  <si>
    <t>Role</t>
  </si>
  <si>
    <t>Platform</t>
  </si>
  <si>
    <t>Reviewed Date</t>
  </si>
  <si>
    <t>Created By</t>
  </si>
  <si>
    <t>Approver</t>
  </si>
  <si>
    <t>Created Date</t>
  </si>
  <si>
    <t>Approved Date</t>
  </si>
  <si>
    <t>Version</t>
  </si>
  <si>
    <t>TEST REPORT</t>
  </si>
  <si>
    <t>Test coverage</t>
  </si>
  <si>
    <t>Test success coverage</t>
  </si>
  <si>
    <t>Total TCs</t>
  </si>
  <si>
    <t>Pass</t>
  </si>
  <si>
    <t>Fail</t>
  </si>
  <si>
    <t>Pending</t>
  </si>
  <si>
    <t>N/A</t>
  </si>
  <si>
    <t>Untested</t>
  </si>
  <si>
    <t>Window - Chrome</t>
  </si>
  <si>
    <t>Window - MS Edge</t>
  </si>
  <si>
    <t>Mac - Safari</t>
  </si>
  <si>
    <t>Mac - Chrome</t>
  </si>
  <si>
    <t>Total</t>
  </si>
  <si>
    <t>TEST PLAN</t>
  </si>
  <si>
    <t>No</t>
  </si>
  <si>
    <t>Function ID</t>
  </si>
  <si>
    <t>Function Name</t>
  </si>
  <si>
    <t>Screen list</t>
  </si>
  <si>
    <t>Est viewpoint</t>
  </si>
  <si>
    <t>Create Test Cases</t>
  </si>
  <si>
    <t>Execute Test Cases</t>
  </si>
  <si>
    <t>Est Time (h)</t>
  </si>
  <si>
    <t>Act Time (h)</t>
  </si>
  <si>
    <t>PIC</t>
  </si>
  <si>
    <t>Status</t>
  </si>
  <si>
    <t>Round 1
Est Time(h)</t>
  </si>
  <si>
    <t>Round 1
Act Time (h)</t>
  </si>
  <si>
    <t>Round 2
Est Time(h)</t>
  </si>
  <si>
    <t>Round 2
Act Time (h)</t>
  </si>
  <si>
    <t>Total Time (h)</t>
  </si>
  <si>
    <t>FUNC01</t>
  </si>
  <si>
    <t>Function_1</t>
  </si>
  <si>
    <t>FUNC02</t>
  </si>
  <si>
    <t>Function_2</t>
  </si>
  <si>
    <t>FUNC03</t>
  </si>
  <si>
    <t>Function_3</t>
  </si>
  <si>
    <t>FUNC04</t>
  </si>
  <si>
    <t>Function_4</t>
  </si>
  <si>
    <t>FUNC05</t>
  </si>
  <si>
    <t>Function_5</t>
  </si>
  <si>
    <t>FUNC06</t>
  </si>
  <si>
    <t>Function_6</t>
  </si>
  <si>
    <t>FUNC07</t>
  </si>
  <si>
    <t>Function_7</t>
  </si>
  <si>
    <t>FUNC08</t>
  </si>
  <si>
    <t>Function_8</t>
  </si>
  <si>
    <t>FUNC09</t>
  </si>
  <si>
    <t>Function_9</t>
  </si>
  <si>
    <t>FUNC10</t>
  </si>
  <si>
    <t>Function_10</t>
  </si>
  <si>
    <t>HISTORY</t>
  </si>
  <si>
    <t>History</t>
  </si>
  <si>
    <t>Date</t>
  </si>
  <si>
    <t>Content</t>
  </si>
  <si>
    <t>Author</t>
  </si>
  <si>
    <t>System Name</t>
  </si>
  <si>
    <t>Cổng Một Cửa Đầu Tư Quốc Gia - Báo cáo &amp; Thống kê BI</t>
  </si>
  <si>
    <t>% Test coverage</t>
  </si>
  <si>
    <t>Number of bugs</t>
  </si>
  <si>
    <t>% Success</t>
  </si>
  <si>
    <t>Module</t>
  </si>
  <si>
    <t>Quản lý xúc tiến đầu tư</t>
  </si>
  <si>
    <t>Window - MS Egde</t>
  </si>
  <si>
    <t>Executed By</t>
  </si>
  <si>
    <t>Executed Date</t>
  </si>
  <si>
    <t>Notes</t>
  </si>
  <si>
    <t>ID_TC</t>
  </si>
  <si>
    <t>Test Title/Summary of test cases</t>
  </si>
  <si>
    <t>Pre-condition</t>
  </si>
  <si>
    <t>Step</t>
  </si>
  <si>
    <t>Expected Result</t>
  </si>
  <si>
    <t>Data/Note</t>
  </si>
  <si>
    <t>Round 1</t>
  </si>
  <si>
    <t>Round 2</t>
  </si>
  <si>
    <t>Test Result</t>
  </si>
  <si>
    <t>Execute Date</t>
  </si>
  <si>
    <t xml:space="preserve">Test Result </t>
  </si>
  <si>
    <t xml:space="preserve">ID Bug </t>
  </si>
  <si>
    <t>Cap lại ảnh template của các báo cáo có trong module này or import báo cáo từ doc của 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</si>
</sst>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26.0"/>
      <color theme="1"/>
      <name val="Times New Roman"/>
    </font>
    <font>
      <sz val="10.0"/>
      <color theme="1"/>
      <name val="Times New Roman"/>
    </font>
    <font>
      <color theme="1"/>
      <name val="Times New Roman"/>
    </font>
    <font>
      <b/>
      <sz val="35.0"/>
      <color theme="1"/>
      <name val="Times New Roman"/>
    </font>
    <font>
      <b/>
      <sz val="17.0"/>
      <color theme="1"/>
      <name val="Times New Roman"/>
    </font>
    <font/>
    <font>
      <sz val="11.0"/>
      <color theme="1"/>
      <name val="Times New Roman"/>
    </font>
    <font>
      <b/>
      <sz val="11.0"/>
      <color theme="1"/>
      <name val="Times New Roman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Times New Roman"/>
    </font>
    <font>
      <b/>
      <sz val="10.0"/>
      <color theme="1"/>
      <name val="Arial"/>
      <scheme val="minor"/>
    </font>
    <font>
      <sz val="10.0"/>
      <color theme="1"/>
      <name val="Arial"/>
    </font>
    <font>
      <b/>
      <color theme="1"/>
      <name val="Arial"/>
    </font>
    <font>
      <b/>
      <sz val="26.0"/>
      <color rgb="FF000000"/>
      <name val="Times New Roman"/>
    </font>
    <font>
      <sz val="11.0"/>
      <color rgb="FF000000"/>
      <name val="Times New Roman"/>
    </font>
    <font>
      <b/>
      <sz val="14.0"/>
      <color rgb="FF000000"/>
      <name val="Times New Roman"/>
    </font>
    <font>
      <b/>
      <sz val="14.0"/>
      <color rgb="FFFFFFFF"/>
      <name val="Times New Roman"/>
    </font>
    <font>
      <sz val="14.0"/>
      <color rgb="FF000000"/>
      <name val="Times New Roman"/>
    </font>
    <font>
      <sz val="10.0"/>
      <color rgb="FF000000"/>
      <name val="Times New Roman"/>
    </font>
    <font>
      <sz val="14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theme="0"/>
        <bgColor theme="0"/>
      </patternFill>
    </fill>
  </fills>
  <borders count="31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BFBFBF"/>
      </left>
      <right style="thin">
        <color rgb="FFBFBFBF"/>
      </right>
      <top style="thin">
        <color rgb="FF000000"/>
      </top>
      <bottom/>
    </border>
    <border>
      <left style="thin">
        <color rgb="FFBFBFBF"/>
      </left>
      <right/>
      <top style="thin">
        <color rgb="FF000000"/>
      </top>
      <bottom/>
    </border>
    <border>
      <left style="thin">
        <color rgb="FFBFBFBF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3" fontId="1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vertical="center"/>
    </xf>
    <xf borderId="0" fillId="3" fontId="5" numFmtId="0" xfId="0" applyAlignment="1" applyFont="1">
      <alignment horizontal="center" readingOrder="0" vertical="center"/>
    </xf>
    <xf borderId="0" fillId="3" fontId="3" numFmtId="0" xfId="0" applyFont="1"/>
    <xf borderId="0" fillId="3" fontId="4" numFmtId="0" xfId="0" applyAlignment="1" applyFont="1">
      <alignment horizontal="center" readingOrder="0" vertical="center"/>
    </xf>
    <xf borderId="0" fillId="3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2" numFmtId="0" xfId="0" applyFont="1"/>
    <xf borderId="1" fillId="0" fontId="1" numFmtId="0" xfId="0" applyAlignment="1" applyBorder="1" applyFont="1">
      <alignment horizontal="center" readingOrder="0" shrinkToFit="0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horizontal="center"/>
    </xf>
    <xf borderId="4" fillId="3" fontId="8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left" readingOrder="0"/>
    </xf>
    <xf borderId="4" fillId="0" fontId="2" numFmtId="10" xfId="0" applyAlignment="1" applyBorder="1" applyFont="1" applyNumberFormat="1">
      <alignment horizontal="center" readingOrder="0"/>
    </xf>
    <xf borderId="4" fillId="0" fontId="2" numFmtId="10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0" fillId="0" fontId="10" numFmtId="0" xfId="0" applyFont="1"/>
    <xf borderId="0" fillId="0" fontId="11" numFmtId="0" xfId="0" applyAlignment="1" applyFont="1">
      <alignment horizontal="center"/>
    </xf>
    <xf borderId="4" fillId="4" fontId="11" numFmtId="0" xfId="0" applyAlignment="1" applyBorder="1" applyFill="1" applyFont="1">
      <alignment horizontal="right" readingOrder="0"/>
    </xf>
    <xf borderId="4" fillId="4" fontId="11" numFmtId="10" xfId="0" applyAlignment="1" applyBorder="1" applyFont="1" applyNumberFormat="1">
      <alignment horizontal="center" readingOrder="0"/>
    </xf>
    <xf borderId="4" fillId="4" fontId="11" numFmtId="10" xfId="0" applyAlignment="1" applyBorder="1" applyFont="1" applyNumberFormat="1">
      <alignment horizontal="center"/>
    </xf>
    <xf borderId="4" fillId="4" fontId="11" numFmtId="3" xfId="0" applyAlignment="1" applyBorder="1" applyFont="1" applyNumberFormat="1">
      <alignment horizontal="center"/>
    </xf>
    <xf borderId="0" fillId="0" fontId="12" numFmtId="0" xfId="0" applyFont="1"/>
    <xf borderId="0" fillId="2" fontId="8" numFmtId="0" xfId="0" applyAlignment="1" applyFont="1">
      <alignment horizontal="center" vertical="center"/>
    </xf>
    <xf borderId="0" fillId="2" fontId="8" numFmtId="0" xfId="0" applyAlignment="1" applyFont="1">
      <alignment horizontal="center" shrinkToFit="0" vertical="center" wrapText="1"/>
    </xf>
    <xf borderId="0" fillId="2" fontId="8" numFmtId="0" xfId="0" applyAlignment="1" applyFont="1">
      <alignment vertical="center"/>
    </xf>
    <xf borderId="0" fillId="2" fontId="8" numFmtId="0" xfId="0" applyAlignment="1" applyFont="1">
      <alignment shrinkToFit="0" vertical="center" wrapText="1"/>
    </xf>
    <xf borderId="0" fillId="2" fontId="8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readingOrder="0" shrinkToFit="0" vertical="center" wrapText="1"/>
    </xf>
    <xf borderId="11" fillId="3" fontId="8" numFmtId="0" xfId="0" applyAlignment="1" applyBorder="1" applyFont="1">
      <alignment vertical="center"/>
    </xf>
    <xf borderId="11" fillId="3" fontId="8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readingOrder="0" shrinkToFit="0" vertical="center" wrapText="1"/>
    </xf>
    <xf borderId="1" fillId="3" fontId="8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readingOrder="0" vertical="center"/>
    </xf>
    <xf borderId="12" fillId="0" fontId="6" numFmtId="0" xfId="0" applyBorder="1" applyFont="1"/>
    <xf borderId="11" fillId="5" fontId="8" numFmtId="0" xfId="0" applyAlignment="1" applyBorder="1" applyFont="1">
      <alignment horizontal="center" readingOrder="0" shrinkToFit="0" vertical="center" wrapText="1"/>
    </xf>
    <xf borderId="13" fillId="0" fontId="6" numFmtId="0" xfId="0" applyBorder="1" applyFont="1"/>
    <xf borderId="4" fillId="0" fontId="2" numFmtId="0" xfId="0" applyAlignment="1" applyBorder="1" applyFont="1">
      <alignment readingOrder="0" shrinkToFit="0" wrapText="1"/>
    </xf>
    <xf borderId="4" fillId="0" fontId="13" numFmtId="0" xfId="0" applyBorder="1" applyFont="1"/>
    <xf borderId="4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 shrinkToFit="0" wrapText="1"/>
    </xf>
    <xf borderId="0" fillId="0" fontId="13" numFmtId="0" xfId="0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14" fillId="2" fontId="14" numFmtId="0" xfId="0" applyAlignment="1" applyBorder="1" applyFont="1">
      <alignment vertical="bottom"/>
    </xf>
    <xf borderId="0" fillId="0" fontId="2" numFmtId="10" xfId="0" applyFont="1" applyNumberFormat="1"/>
    <xf borderId="15" fillId="2" fontId="14" numFmtId="0" xfId="0" applyAlignment="1" applyBorder="1" applyFont="1">
      <alignment vertical="bottom"/>
    </xf>
    <xf borderId="0" fillId="0" fontId="15" numFmtId="14" xfId="0" applyAlignment="1" applyFont="1" applyNumberFormat="1">
      <alignment horizontal="center"/>
    </xf>
    <xf borderId="0" fillId="0" fontId="16" numFmtId="14" xfId="0" applyAlignment="1" applyFont="1" applyNumberFormat="1">
      <alignment horizontal="center"/>
    </xf>
    <xf borderId="16" fillId="6" fontId="17" numFmtId="14" xfId="0" applyAlignment="1" applyBorder="1" applyFill="1" applyFont="1" applyNumberFormat="1">
      <alignment horizontal="center"/>
    </xf>
    <xf borderId="17" fillId="0" fontId="6" numFmtId="0" xfId="0" applyBorder="1" applyFont="1"/>
    <xf borderId="18" fillId="7" fontId="18" numFmtId="14" xfId="0" applyAlignment="1" applyBorder="1" applyFill="1" applyFont="1" applyNumberFormat="1">
      <alignment horizontal="center"/>
    </xf>
    <xf borderId="19" fillId="7" fontId="18" numFmtId="0" xfId="0" applyAlignment="1" applyBorder="1" applyFont="1">
      <alignment horizontal="center"/>
    </xf>
    <xf borderId="20" fillId="7" fontId="18" numFmtId="0" xfId="0" applyAlignment="1" applyBorder="1" applyFont="1">
      <alignment horizontal="center"/>
    </xf>
    <xf borderId="21" fillId="7" fontId="18" numFmtId="0" xfId="0" applyAlignment="1" applyBorder="1" applyFont="1">
      <alignment horizontal="center"/>
    </xf>
    <xf borderId="21" fillId="7" fontId="18" numFmtId="0" xfId="0" applyAlignment="1" applyBorder="1" applyFont="1">
      <alignment horizontal="center" readingOrder="0"/>
    </xf>
    <xf borderId="22" fillId="2" fontId="19" numFmtId="14" xfId="0" applyAlignment="1" applyBorder="1" applyFont="1" applyNumberFormat="1">
      <alignment horizontal="center"/>
    </xf>
    <xf borderId="22" fillId="2" fontId="19" numFmtId="0" xfId="0" applyAlignment="1" applyBorder="1" applyFont="1">
      <alignment shrinkToFit="0" vertical="top" wrapText="1"/>
    </xf>
    <xf borderId="22" fillId="2" fontId="19" numFmtId="0" xfId="0" applyAlignment="1" applyBorder="1" applyFont="1">
      <alignment horizontal="center"/>
    </xf>
    <xf borderId="0" fillId="0" fontId="20" numFmtId="14" xfId="0" applyFont="1" applyNumberFormat="1"/>
    <xf borderId="16" fillId="3" fontId="11" numFmtId="0" xfId="0" applyAlignment="1" applyBorder="1" applyFont="1">
      <alignment horizontal="left" readingOrder="0" vertical="center"/>
    </xf>
    <xf borderId="16" fillId="0" fontId="11" numFmtId="0" xfId="0" applyAlignment="1" applyBorder="1" applyFont="1">
      <alignment horizontal="left" readingOrder="0" vertical="center"/>
    </xf>
    <xf borderId="23" fillId="0" fontId="6" numFmtId="0" xfId="0" applyBorder="1" applyFont="1"/>
    <xf borderId="22" fillId="3" fontId="11" numFmtId="0" xfId="0" applyAlignment="1" applyBorder="1" applyFont="1">
      <alignment horizontal="center" shrinkToFit="0" vertical="center" wrapText="1"/>
    </xf>
    <xf borderId="22" fillId="3" fontId="11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22" fillId="3" fontId="11" numFmtId="0" xfId="0" applyAlignment="1" applyBorder="1" applyFont="1">
      <alignment horizontal="center" readingOrder="0" shrinkToFit="0" vertical="center" wrapText="1"/>
    </xf>
    <xf borderId="22" fillId="3" fontId="11" numFmtId="10" xfId="0" applyAlignment="1" applyBorder="1" applyFont="1" applyNumberFormat="1">
      <alignment horizontal="center" readingOrder="0" vertical="center"/>
    </xf>
    <xf borderId="0" fillId="2" fontId="11" numFmtId="10" xfId="0" applyAlignment="1" applyFont="1" applyNumberFormat="1">
      <alignment horizontal="center" shrinkToFit="0" vertical="center" wrapText="1"/>
    </xf>
    <xf borderId="0" fillId="2" fontId="11" numFmtId="10" xfId="0" applyAlignment="1" applyFont="1" applyNumberFormat="1">
      <alignment horizontal="center" readingOrder="0" vertical="center"/>
    </xf>
    <xf borderId="0" fillId="2" fontId="11" numFmtId="0" xfId="0" applyAlignment="1" applyFont="1">
      <alignment horizontal="center" vertical="center"/>
    </xf>
    <xf borderId="22" fillId="0" fontId="11" numFmtId="0" xfId="0" applyAlignment="1" applyBorder="1" applyFont="1">
      <alignment horizontal="left" readingOrder="0" vertical="center"/>
    </xf>
    <xf borderId="22" fillId="3" fontId="11" numFmtId="0" xfId="0" applyAlignment="1" applyBorder="1" applyFont="1">
      <alignment horizontal="left" readingOrder="0" vertical="center"/>
    </xf>
    <xf borderId="23" fillId="0" fontId="11" numFmtId="14" xfId="0" applyAlignment="1" applyBorder="1" applyFont="1" applyNumberFormat="1">
      <alignment horizontal="center" readingOrder="0" shrinkToFit="0" vertical="center" wrapText="1"/>
    </xf>
    <xf borderId="24" fillId="3" fontId="11" numFmtId="0" xfId="0" applyAlignment="1" applyBorder="1" applyFont="1">
      <alignment horizontal="center" vertical="center"/>
    </xf>
    <xf borderId="24" fillId="3" fontId="11" numFmtId="0" xfId="0" applyAlignment="1" applyBorder="1" applyFont="1">
      <alignment horizontal="center" readingOrder="0" shrinkToFit="0" vertical="center" wrapText="1"/>
    </xf>
    <xf borderId="24" fillId="3" fontId="11" numFmtId="0" xfId="0" applyAlignment="1" applyBorder="1" applyFont="1">
      <alignment horizontal="center" shrinkToFit="0" vertical="center" wrapText="1"/>
    </xf>
    <xf borderId="16" fillId="3" fontId="11" numFmtId="0" xfId="0" applyAlignment="1" applyBorder="1" applyFont="1">
      <alignment horizontal="center" readingOrder="0" vertical="center"/>
    </xf>
    <xf borderId="25" fillId="0" fontId="6" numFmtId="0" xfId="0" applyBorder="1" applyFont="1"/>
    <xf borderId="24" fillId="3" fontId="11" numFmtId="0" xfId="0" applyAlignment="1" applyBorder="1" applyFont="1">
      <alignment horizontal="center" readingOrder="0" vertical="center"/>
    </xf>
    <xf borderId="26" fillId="0" fontId="6" numFmtId="0" xfId="0" applyBorder="1" applyFont="1"/>
    <xf borderId="27" fillId="0" fontId="6" numFmtId="0" xfId="0" applyBorder="1" applyFont="1"/>
    <xf borderId="28" fillId="3" fontId="11" numFmtId="0" xfId="0" applyAlignment="1" applyBorder="1" applyFont="1">
      <alignment horizontal="center" vertical="center"/>
    </xf>
    <xf borderId="29" fillId="3" fontId="11" numFmtId="0" xfId="0" applyAlignment="1" applyBorder="1" applyFont="1">
      <alignment horizontal="center" readingOrder="0" vertical="center"/>
    </xf>
    <xf borderId="22" fillId="3" fontId="11" numFmtId="0" xfId="0" applyAlignment="1" applyBorder="1" applyFont="1">
      <alignment horizontal="center" vertical="center"/>
    </xf>
    <xf borderId="29" fillId="3" fontId="11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readingOrder="0" vertical="center"/>
    </xf>
    <xf borderId="17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readingOrder="0" vertical="center"/>
    </xf>
    <xf borderId="30" fillId="0" fontId="11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horizontal="center" vertical="center"/>
    </xf>
    <xf borderId="24" fillId="0" fontId="20" numFmtId="0" xfId="0" applyAlignment="1" applyBorder="1" applyFont="1">
      <alignment shrinkToFit="0" vertical="center" wrapText="1"/>
    </xf>
    <xf borderId="22" fillId="0" fontId="16" numFmtId="0" xfId="0" applyAlignment="1" applyBorder="1" applyFont="1">
      <alignment shrinkToFit="0" vertical="center" wrapText="1"/>
    </xf>
    <xf borderId="22" fillId="0" fontId="16" numFmtId="0" xfId="0" applyAlignment="1" applyBorder="1" applyFont="1">
      <alignment horizontal="left" readingOrder="0" shrinkToFit="0" vertical="center" wrapText="1"/>
    </xf>
    <xf borderId="24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readingOrder="0" vertical="center"/>
    </xf>
    <xf borderId="18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readingOrder="0" vertical="center"/>
    </xf>
    <xf borderId="22" fillId="0" fontId="16" numFmtId="0" xfId="0" applyAlignment="1" applyBorder="1" applyFont="1">
      <alignment horizontal="left" shrinkToFit="0" vertical="center" wrapText="1"/>
    </xf>
    <xf borderId="29" fillId="0" fontId="2" numFmtId="0" xfId="0" applyAlignment="1" applyBorder="1" applyFont="1">
      <alignment vertical="center"/>
    </xf>
    <xf borderId="22" fillId="2" fontId="2" numFmtId="0" xfId="0" applyAlignment="1" applyBorder="1" applyFont="1">
      <alignment readingOrder="0" vertical="center"/>
    </xf>
    <xf borderId="18" fillId="8" fontId="2" numFmtId="0" xfId="0" applyAlignment="1" applyBorder="1" applyFill="1" applyFont="1">
      <alignment horizontal="center" vertical="center"/>
    </xf>
    <xf borderId="29" fillId="8" fontId="2" numFmtId="0" xfId="0" applyAlignment="1" applyBorder="1" applyFont="1">
      <alignment horizontal="center" vertical="center"/>
    </xf>
    <xf borderId="22" fillId="0" fontId="20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vertical="center"/>
    </xf>
    <xf borderId="22" fillId="2" fontId="2" numFmtId="0" xfId="0" applyAlignment="1" applyBorder="1" applyFont="1">
      <alignment shrinkToFit="0" vertical="center" wrapText="1"/>
    </xf>
    <xf borderId="29" fillId="2" fontId="2" numFmtId="0" xfId="0" applyAlignment="1" applyBorder="1" applyFont="1">
      <alignment vertical="center"/>
    </xf>
    <xf borderId="22" fillId="2" fontId="2" numFmtId="0" xfId="0" applyAlignment="1" applyBorder="1" applyFont="1">
      <alignment vertical="center"/>
    </xf>
    <xf borderId="28" fillId="8" fontId="2" numFmtId="0" xfId="0" applyAlignment="1" applyBorder="1" applyFont="1">
      <alignment horizontal="center" vertical="center"/>
    </xf>
    <xf borderId="2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0" numFmtId="0" xfId="0" applyAlignment="1" applyFont="1">
      <alignment shrinkToFit="0" vertical="center" wrapText="1"/>
    </xf>
    <xf borderId="0" fillId="0" fontId="20" numFmtId="0" xfId="0" applyAlignment="1" applyFont="1">
      <alignment horizontal="left" shrinkToFit="0" vertical="center" wrapText="1"/>
    </xf>
    <xf borderId="0" fillId="0" fontId="21" numFmtId="0" xfId="0" applyAlignment="1" applyFont="1">
      <alignment readingOrder="0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huong Ha" id="{8c68bb8e-4d0b-420d-87db-ed85d6e5b253}" providerId="google-sheets"/>
  <x18tc:person displayName="Ha Nguyen" id="{e33a516f-521f-49dd-a7d0-7dfa8f7a318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3" dT="2026-04-12T15:03:43.00" personId="{8c68bb8e-4d0b-420d-87db-ed85d6e5b253}" id="{3b7565e2-5e8e-4831-9e9e-d1bbb9122a7d}" done="1">
    <x18tc:text xml:space="preserve">HÀ: em hỏi Vân thì Vân bảo là bên họ sẽ clone cho mình 1 web base, mình code trên đó
-&gt; sau khi done hết thì họ copy code của mình vào hệ thống của họ
nhưng không biết là code tất cả trên 1 web base này hay sẽ có nhiều web base tương ứng với từng module nên em thêm mục này ạ</x18tc:text>
  </x18tc:threadedComment>
  <x18tc:threadedComment ref="A1" dT="2026-04-10T10:26:37.00" personId="{8c68bb8e-4d0b-420d-87db-ed85d6e5b253}" id="{46f4ad33-7fd1-4755-a567-b6c7112fd4aa}" done="0">
    <x18tc:text xml:space="preserve">bỏ cột này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4" dT="2026-04-10T10:26:33.00" personId="{8c68bb8e-4d0b-420d-87db-ed85d6e5b253}" id="{91fc7207-431c-4c09-8d50-dd19841e94ac}" done="1">
    <x18tc:text xml:space="preserve">bỏ cột này</x18tc:text>
  </x18tc:threadedComment>
  <x18tc:threadedComment ref="Q16" dT="2026-04-10T10:27:38.00" personId="{8c68bb8e-4d0b-420d-87db-ed85d6e5b253}" id="{a58b7480-c7cb-4ed6-a5b0-b7cde38bd3b6}" done="1">
    <x18tc:text xml:space="preserve">check lại công thức này cho c nhé</x18tc:text>
  </x18tc:threadedComment>
  <x18tc:threadedComment ref="Q16" dT="2026-04-10T10:35:11.00" personId="{e33a516f-521f-49dd-a7d0-7dfa8f7a3189}" id="{c7ebb376-df3a-4029-bb53-5988ffeb6f26}" parentId="{a58b7480-c7cb-4ed6-a5b0-b7cde38bd3b6}">
    <x18tc:text xml:space="preserve">công thức total time em để là tổng time est nhá chị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1" dT="2026-04-10T10:29:22.00" personId="{8c68bb8e-4d0b-420d-87db-ed85d6e5b253}" id="{f3ada74b-a3e4-48d1-a4a0-2af22d1fb9cb}" done="1">
    <x18tc:text xml:space="preserve">thiếu status = Untested</x18tc:text>
  </x18tc:threadedComment>
  <x18tc:threadedComment ref="G8" dT="2026-04-10T10:30:21.00" personId="{8c68bb8e-4d0b-420d-87db-ed85d6e5b253}" id="{3b7dde74-a9bc-44fb-bac8-cd99221ce66c}" done="1">
    <x18tc:text xml:space="preserve">thêm cho c ngày execute test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31" width="1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31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44.25" customHeight="1">
      <c r="A3" s="4"/>
      <c r="B3" s="6" t="s">
        <v>0</v>
      </c>
      <c r="N3" s="4"/>
      <c r="O3" s="4"/>
      <c r="P3" s="4"/>
      <c r="Q3" s="4"/>
      <c r="R3" s="4"/>
      <c r="S3" s="4"/>
      <c r="T3" s="4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40.5" customHeight="1">
      <c r="A4" s="4"/>
      <c r="B4" s="7"/>
      <c r="C4" s="7"/>
      <c r="D4" s="7"/>
      <c r="E4" s="8" t="s">
        <v>1</v>
      </c>
      <c r="K4" s="7"/>
      <c r="L4" s="7"/>
      <c r="M4" s="9"/>
      <c r="N4" s="4"/>
      <c r="O4" s="4"/>
      <c r="P4" s="4"/>
      <c r="Q4" s="4"/>
      <c r="R4" s="4"/>
      <c r="S4" s="4"/>
      <c r="T4" s="4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4"/>
      <c r="B5" s="7"/>
      <c r="C5" s="7"/>
      <c r="D5" s="10"/>
      <c r="E5" s="10"/>
      <c r="F5" s="10"/>
      <c r="G5" s="10"/>
      <c r="H5" s="10"/>
      <c r="I5" s="10"/>
      <c r="J5" s="10"/>
      <c r="K5" s="7"/>
      <c r="L5" s="7"/>
      <c r="M5" s="9"/>
      <c r="N5" s="4"/>
      <c r="O5" s="4"/>
      <c r="P5" s="4"/>
      <c r="Q5" s="4"/>
      <c r="R5" s="4"/>
      <c r="S5" s="4"/>
      <c r="T5" s="4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4"/>
      <c r="B6" s="7"/>
      <c r="C6" s="7"/>
      <c r="D6" s="7"/>
      <c r="E6" s="10"/>
      <c r="F6" s="10"/>
      <c r="G6" s="10"/>
      <c r="H6" s="10"/>
      <c r="I6" s="10"/>
      <c r="J6" s="10"/>
      <c r="K6" s="7"/>
      <c r="L6" s="7"/>
      <c r="M6" s="9"/>
      <c r="N6" s="4"/>
      <c r="O6" s="4"/>
      <c r="P6" s="4"/>
      <c r="Q6" s="4"/>
      <c r="R6" s="4"/>
      <c r="S6" s="4"/>
      <c r="T6" s="4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9"/>
      <c r="N7" s="4"/>
      <c r="O7" s="4"/>
      <c r="P7" s="4"/>
      <c r="Q7" s="4"/>
      <c r="R7" s="4"/>
      <c r="S7" s="4"/>
      <c r="T7" s="4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9"/>
      <c r="N8" s="4"/>
      <c r="O8" s="4"/>
      <c r="P8" s="4"/>
      <c r="Q8" s="4"/>
      <c r="R8" s="4"/>
      <c r="S8" s="4"/>
      <c r="T8" s="4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9"/>
      <c r="N9" s="4"/>
      <c r="O9" s="4"/>
      <c r="P9" s="4"/>
      <c r="Q9" s="4"/>
      <c r="R9" s="4"/>
      <c r="S9" s="4"/>
      <c r="T9" s="4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9"/>
      <c r="N10" s="4"/>
      <c r="O10" s="4"/>
      <c r="P10" s="4"/>
      <c r="Q10" s="4"/>
      <c r="R10" s="4"/>
      <c r="S10" s="4"/>
      <c r="T10" s="4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20.25" customHeight="1">
      <c r="A11" s="4"/>
      <c r="B11" s="7"/>
      <c r="C11" s="11" t="s">
        <v>2</v>
      </c>
      <c r="E11" s="3"/>
      <c r="H11" s="11" t="s">
        <v>3</v>
      </c>
      <c r="J11" s="3"/>
      <c r="M11" s="9"/>
      <c r="N11" s="4"/>
      <c r="O11" s="4"/>
      <c r="P11" s="4"/>
      <c r="Q11" s="4"/>
      <c r="R11" s="4"/>
      <c r="S11" s="4"/>
      <c r="T11" s="4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20.25" customHeight="1">
      <c r="A12" s="4"/>
      <c r="B12" s="7"/>
      <c r="C12" s="11" t="s">
        <v>4</v>
      </c>
      <c r="E12" s="3"/>
      <c r="H12" s="11" t="s">
        <v>5</v>
      </c>
      <c r="J12" s="3"/>
      <c r="M12" s="9"/>
      <c r="N12" s="4"/>
      <c r="O12" s="4"/>
      <c r="P12" s="4"/>
      <c r="Q12" s="4"/>
      <c r="R12" s="4"/>
      <c r="S12" s="4"/>
      <c r="T12" s="4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20.25" customHeight="1">
      <c r="A13" s="4"/>
      <c r="B13" s="7"/>
      <c r="C13" s="11" t="s">
        <v>6</v>
      </c>
      <c r="E13" s="3"/>
      <c r="H13" s="11" t="s">
        <v>7</v>
      </c>
      <c r="J13" s="3"/>
      <c r="M13" s="9"/>
      <c r="N13" s="4"/>
      <c r="O13" s="4"/>
      <c r="P13" s="4"/>
      <c r="Q13" s="4"/>
      <c r="R13" s="4"/>
      <c r="S13" s="4"/>
      <c r="T13" s="4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20.25" customHeight="1">
      <c r="A14" s="4"/>
      <c r="B14" s="7"/>
      <c r="C14" s="11" t="s">
        <v>8</v>
      </c>
      <c r="E14" s="3"/>
      <c r="H14" s="11" t="s">
        <v>9</v>
      </c>
      <c r="J14" s="3"/>
      <c r="M14" s="9"/>
      <c r="N14" s="4"/>
      <c r="O14" s="4"/>
      <c r="P14" s="4"/>
      <c r="Q14" s="4"/>
      <c r="R14" s="4"/>
      <c r="S14" s="4"/>
      <c r="T14" s="4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20.25" customHeight="1">
      <c r="A15" s="4"/>
      <c r="B15" s="7"/>
      <c r="C15" s="11" t="s">
        <v>5</v>
      </c>
      <c r="E15" s="3"/>
      <c r="H15" s="11" t="s">
        <v>5</v>
      </c>
      <c r="J15" s="3"/>
      <c r="M15" s="9"/>
      <c r="N15" s="4"/>
      <c r="O15" s="4"/>
      <c r="P15" s="4"/>
      <c r="Q15" s="4"/>
      <c r="R15" s="4"/>
      <c r="S15" s="4"/>
      <c r="T15" s="4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20.25" customHeight="1">
      <c r="A16" s="4"/>
      <c r="B16" s="7"/>
      <c r="C16" s="11" t="s">
        <v>10</v>
      </c>
      <c r="E16" s="3"/>
      <c r="H16" s="11" t="s">
        <v>11</v>
      </c>
      <c r="J16" s="3"/>
      <c r="M16" s="9"/>
      <c r="N16" s="4"/>
      <c r="O16" s="4"/>
      <c r="P16" s="4"/>
      <c r="Q16" s="4"/>
      <c r="R16" s="4"/>
      <c r="S16" s="4"/>
      <c r="T16" s="4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20.25" customHeight="1">
      <c r="A17" s="4"/>
      <c r="B17" s="7"/>
      <c r="C17" s="11" t="s">
        <v>12</v>
      </c>
      <c r="E17" s="3"/>
      <c r="H17" s="11"/>
      <c r="J17" s="3"/>
      <c r="M17" s="9"/>
      <c r="N17" s="4"/>
      <c r="O17" s="4"/>
      <c r="P17" s="4"/>
      <c r="Q17" s="4"/>
      <c r="R17" s="4"/>
      <c r="S17" s="4"/>
      <c r="T17" s="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15.75" customHeight="1">
      <c r="A18" s="3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15.75" customHeight="1">
      <c r="A19" s="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</sheetData>
  <mergeCells count="30">
    <mergeCell ref="B3:M3"/>
    <mergeCell ref="E4:J4"/>
    <mergeCell ref="C11:D11"/>
    <mergeCell ref="E11:G11"/>
    <mergeCell ref="H11:I11"/>
    <mergeCell ref="J11:L11"/>
    <mergeCell ref="C12:D12"/>
    <mergeCell ref="J12:L12"/>
    <mergeCell ref="E12:G12"/>
    <mergeCell ref="H12:I12"/>
    <mergeCell ref="C13:D13"/>
    <mergeCell ref="E13:G13"/>
    <mergeCell ref="H13:I13"/>
    <mergeCell ref="J13:L13"/>
    <mergeCell ref="C14:D14"/>
    <mergeCell ref="J14:L14"/>
    <mergeCell ref="E16:G16"/>
    <mergeCell ref="H16:I16"/>
    <mergeCell ref="C17:D17"/>
    <mergeCell ref="E17:G17"/>
    <mergeCell ref="H17:I17"/>
    <mergeCell ref="J17:L17"/>
    <mergeCell ref="E14:G14"/>
    <mergeCell ref="H14:I14"/>
    <mergeCell ref="C15:D15"/>
    <mergeCell ref="E15:G15"/>
    <mergeCell ref="H15:I15"/>
    <mergeCell ref="J15:L15"/>
    <mergeCell ref="C16:D16"/>
    <mergeCell ref="J16:L16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4.63"/>
    <col customWidth="1" min="3" max="18" width="12.88"/>
  </cols>
  <sheetData>
    <row r="1">
      <c r="A1" s="13"/>
      <c r="B1" s="14" t="s">
        <v>13</v>
      </c>
      <c r="C1" s="15"/>
      <c r="D1" s="15"/>
      <c r="E1" s="15"/>
      <c r="F1" s="15"/>
      <c r="G1" s="15"/>
      <c r="H1" s="15"/>
      <c r="I1" s="15"/>
      <c r="J1" s="16"/>
      <c r="O1" s="13"/>
      <c r="P1" s="13"/>
      <c r="Q1" s="13"/>
      <c r="R1" s="13"/>
    </row>
    <row r="2">
      <c r="A2" s="17"/>
      <c r="B2" s="18"/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9"/>
      <c r="L2" s="19"/>
      <c r="M2" s="19"/>
      <c r="N2" s="19"/>
      <c r="O2" s="19"/>
      <c r="P2" s="17"/>
      <c r="Q2" s="17"/>
      <c r="R2" s="17"/>
    </row>
    <row r="3" ht="15.75" customHeight="1">
      <c r="A3" s="20"/>
      <c r="B3" s="21" t="s">
        <v>22</v>
      </c>
      <c r="C3" s="22">
        <f>'Test Cases_Template'!L2</f>
        <v>0</v>
      </c>
      <c r="D3" s="23">
        <f>'Test Cases_Template'!N2</f>
        <v>0</v>
      </c>
      <c r="E3" s="24">
        <f>'Test Cases_Template'!K2</f>
        <v>0</v>
      </c>
      <c r="F3" s="24">
        <f>'Test Cases_Template'!F2</f>
        <v>0</v>
      </c>
      <c r="G3" s="24">
        <f>'Test Cases_Template'!G2</f>
        <v>0</v>
      </c>
      <c r="H3" s="24">
        <f>'Test Cases_Template'!H2</f>
        <v>0</v>
      </c>
      <c r="I3" s="24">
        <f>'Test Cases_Template'!I2</f>
        <v>0</v>
      </c>
      <c r="J3" s="24">
        <f>'Test Cases_Template'!J2</f>
        <v>0</v>
      </c>
      <c r="K3" s="25"/>
      <c r="L3" s="25"/>
      <c r="M3" s="25"/>
      <c r="N3" s="25"/>
      <c r="O3" s="25"/>
      <c r="P3" s="20"/>
      <c r="Q3" s="20"/>
      <c r="R3" s="20"/>
    </row>
    <row r="4" ht="15.75" customHeight="1">
      <c r="A4" s="20"/>
      <c r="B4" s="21" t="s">
        <v>23</v>
      </c>
      <c r="C4" s="22">
        <f>'Test Cases_Template'!L3</f>
        <v>0</v>
      </c>
      <c r="D4" s="23">
        <f>'Test Cases_Template'!N3</f>
        <v>0</v>
      </c>
      <c r="E4" s="24">
        <f>'Test Cases_Template'!K3</f>
        <v>0</v>
      </c>
      <c r="F4" s="24">
        <f>'Test Cases_Template'!F3</f>
        <v>0</v>
      </c>
      <c r="G4" s="24">
        <f>'Test Cases_Template'!G3</f>
        <v>0</v>
      </c>
      <c r="H4" s="24">
        <f>'Test Cases_Template'!H3</f>
        <v>0</v>
      </c>
      <c r="I4" s="24">
        <f>'Test Cases_Template'!I3</f>
        <v>0</v>
      </c>
      <c r="J4" s="24">
        <f>'Test Cases_Template'!J3</f>
        <v>0</v>
      </c>
      <c r="K4" s="25"/>
      <c r="L4" s="25"/>
      <c r="M4" s="25"/>
      <c r="N4" s="25"/>
      <c r="O4" s="25"/>
      <c r="P4" s="20"/>
      <c r="Q4" s="20"/>
      <c r="R4" s="20"/>
    </row>
    <row r="5" ht="15.75" customHeight="1">
      <c r="A5" s="20"/>
      <c r="B5" s="21" t="s">
        <v>24</v>
      </c>
      <c r="C5" s="22">
        <f>'Test Cases_Template'!L4</f>
        <v>0</v>
      </c>
      <c r="D5" s="23">
        <f>'Test Cases_Template'!N4</f>
        <v>0</v>
      </c>
      <c r="E5" s="24">
        <f>'Test Cases_Template'!K4</f>
        <v>0</v>
      </c>
      <c r="F5" s="24">
        <f>'Test Cases_Template'!F4</f>
        <v>0</v>
      </c>
      <c r="G5" s="24">
        <f>'Test Cases_Template'!G4</f>
        <v>0</v>
      </c>
      <c r="H5" s="24">
        <f>'Test Cases_Template'!H4</f>
        <v>0</v>
      </c>
      <c r="I5" s="24">
        <f>'Test Cases_Template'!I4</f>
        <v>0</v>
      </c>
      <c r="J5" s="24">
        <f>'Test Cases_Template'!J4</f>
        <v>0</v>
      </c>
      <c r="K5" s="25"/>
      <c r="L5" s="25"/>
      <c r="M5" s="25"/>
      <c r="N5" s="25"/>
      <c r="O5" s="25"/>
      <c r="P5" s="20"/>
      <c r="Q5" s="20"/>
      <c r="R5" s="20"/>
    </row>
    <row r="6" ht="15.75" customHeight="1">
      <c r="A6" s="20"/>
      <c r="B6" s="21" t="s">
        <v>25</v>
      </c>
      <c r="C6" s="22">
        <f>'Test Cases_Template'!L5</f>
        <v>0</v>
      </c>
      <c r="D6" s="23">
        <f>'Test Cases_Template'!N5</f>
        <v>0</v>
      </c>
      <c r="E6" s="24">
        <f>'Test Cases_Template'!K5</f>
        <v>0</v>
      </c>
      <c r="F6" s="24">
        <f>'Test Cases_Template'!F5</f>
        <v>0</v>
      </c>
      <c r="G6" s="24">
        <f>'Test Cases_Template'!G5</f>
        <v>0</v>
      </c>
      <c r="H6" s="24">
        <f>'Test Cases_Template'!H5</f>
        <v>0</v>
      </c>
      <c r="I6" s="24">
        <f>'Test Cases_Template'!I5</f>
        <v>0</v>
      </c>
      <c r="J6" s="24">
        <f>'Test Cases_Template'!J5</f>
        <v>0</v>
      </c>
      <c r="K6" s="25"/>
      <c r="L6" s="25"/>
      <c r="M6" s="25"/>
      <c r="N6" s="25"/>
      <c r="O6" s="25"/>
      <c r="P6" s="20"/>
      <c r="Q6" s="20"/>
      <c r="R6" s="20"/>
    </row>
    <row r="7" ht="15.75" customHeight="1">
      <c r="A7" s="26"/>
      <c r="B7" s="27" t="s">
        <v>26</v>
      </c>
      <c r="C7" s="28">
        <f>'Test Cases_Template'!L6</f>
        <v>0</v>
      </c>
      <c r="D7" s="29">
        <f>'Test Cases_Template'!N6</f>
        <v>0</v>
      </c>
      <c r="E7" s="30">
        <f>'Test Cases_Template'!K6</f>
        <v>0</v>
      </c>
      <c r="F7" s="30">
        <f>'Test Cases_Template'!F6</f>
        <v>0</v>
      </c>
      <c r="G7" s="30">
        <f>'Test Cases_Template'!G6</f>
        <v>0</v>
      </c>
      <c r="H7" s="30">
        <f>'Test Cases_Template'!H6</f>
        <v>0</v>
      </c>
      <c r="I7" s="30">
        <f>'Test Cases_Template'!I6</f>
        <v>0</v>
      </c>
      <c r="J7" s="30">
        <f>'Test Cases_Template'!J6</f>
        <v>0</v>
      </c>
      <c r="K7" s="31"/>
      <c r="L7" s="31"/>
      <c r="M7" s="31"/>
      <c r="N7" s="31"/>
      <c r="O7" s="31"/>
      <c r="P7" s="26"/>
      <c r="Q7" s="26"/>
      <c r="R7" s="26"/>
    </row>
    <row r="8">
      <c r="A8" s="32"/>
      <c r="B8" s="33"/>
      <c r="C8" s="33"/>
      <c r="D8" s="33"/>
      <c r="E8" s="34"/>
      <c r="F8" s="35"/>
      <c r="G8" s="35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</row>
    <row r="9">
      <c r="A9" s="32"/>
      <c r="B9" s="33"/>
      <c r="C9" s="33"/>
      <c r="D9" s="33"/>
      <c r="E9" s="34"/>
      <c r="F9" s="35"/>
      <c r="G9" s="35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</row>
    <row r="10">
      <c r="A10" s="32"/>
      <c r="B10" s="33"/>
      <c r="C10" s="33"/>
      <c r="D10" s="33"/>
      <c r="E10" s="34"/>
      <c r="F10" s="35"/>
      <c r="G10" s="35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</row>
    <row r="11">
      <c r="A11" s="32"/>
      <c r="B11" s="37" t="s">
        <v>27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9"/>
    </row>
    <row r="12">
      <c r="A12" s="32"/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2"/>
    </row>
    <row r="13">
      <c r="A13" s="19"/>
      <c r="B13" s="43" t="s">
        <v>28</v>
      </c>
      <c r="C13" s="44" t="s">
        <v>29</v>
      </c>
      <c r="D13" s="44" t="s">
        <v>30</v>
      </c>
      <c r="E13" s="45" t="s">
        <v>6</v>
      </c>
      <c r="F13" s="46" t="s">
        <v>31</v>
      </c>
      <c r="G13" s="47" t="s">
        <v>32</v>
      </c>
      <c r="H13" s="48" t="s">
        <v>33</v>
      </c>
      <c r="I13" s="15"/>
      <c r="J13" s="15"/>
      <c r="K13" s="16"/>
      <c r="L13" s="49" t="s">
        <v>34</v>
      </c>
      <c r="M13" s="15"/>
      <c r="N13" s="15"/>
      <c r="O13" s="15"/>
      <c r="P13" s="15"/>
      <c r="Q13" s="15"/>
      <c r="R13" s="16"/>
    </row>
    <row r="14" ht="15.0" customHeight="1">
      <c r="A14" s="19"/>
      <c r="B14" s="50"/>
      <c r="C14" s="50"/>
      <c r="D14" s="50"/>
      <c r="E14" s="50"/>
      <c r="F14" s="50"/>
      <c r="G14" s="50"/>
      <c r="H14" s="44" t="s">
        <v>35</v>
      </c>
      <c r="I14" s="44" t="s">
        <v>36</v>
      </c>
      <c r="J14" s="44" t="s">
        <v>37</v>
      </c>
      <c r="K14" s="44" t="s">
        <v>38</v>
      </c>
      <c r="L14" s="51" t="s">
        <v>39</v>
      </c>
      <c r="M14" s="51" t="s">
        <v>40</v>
      </c>
      <c r="N14" s="51" t="s">
        <v>41</v>
      </c>
      <c r="O14" s="51" t="s">
        <v>42</v>
      </c>
      <c r="P14" s="51" t="s">
        <v>43</v>
      </c>
      <c r="Q14" s="51" t="s">
        <v>37</v>
      </c>
      <c r="R14" s="51" t="s">
        <v>38</v>
      </c>
    </row>
    <row r="15">
      <c r="A15" s="19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</row>
    <row r="16">
      <c r="A16" s="25"/>
      <c r="B16" s="24">
        <f t="shared" ref="B16:B25" si="1">ROW()-6</f>
        <v>10</v>
      </c>
      <c r="C16" s="53" t="s">
        <v>44</v>
      </c>
      <c r="D16" s="53" t="s">
        <v>45</v>
      </c>
      <c r="E16" s="54"/>
      <c r="F16" s="55"/>
      <c r="G16" s="54"/>
      <c r="H16" s="56"/>
      <c r="I16" s="56"/>
      <c r="J16" s="56"/>
      <c r="K16" s="56"/>
      <c r="L16" s="56"/>
      <c r="M16" s="56"/>
      <c r="N16" s="56"/>
      <c r="O16" s="56"/>
      <c r="P16" s="56">
        <f t="shared" ref="P16:P25" si="2">L16+N16</f>
        <v>0</v>
      </c>
      <c r="Q16" s="56"/>
      <c r="R16" s="56"/>
    </row>
    <row r="17">
      <c r="A17" s="25"/>
      <c r="B17" s="24">
        <f t="shared" si="1"/>
        <v>11</v>
      </c>
      <c r="C17" s="53" t="s">
        <v>46</v>
      </c>
      <c r="D17" s="53" t="s">
        <v>47</v>
      </c>
      <c r="E17" s="54"/>
      <c r="F17" s="55"/>
      <c r="G17" s="54"/>
      <c r="H17" s="56"/>
      <c r="I17" s="56"/>
      <c r="J17" s="56"/>
      <c r="K17" s="56"/>
      <c r="L17" s="56"/>
      <c r="M17" s="56"/>
      <c r="N17" s="56"/>
      <c r="O17" s="56"/>
      <c r="P17" s="56">
        <f t="shared" si="2"/>
        <v>0</v>
      </c>
      <c r="Q17" s="56"/>
      <c r="R17" s="56"/>
    </row>
    <row r="18">
      <c r="A18" s="25"/>
      <c r="B18" s="24">
        <f t="shared" si="1"/>
        <v>12</v>
      </c>
      <c r="C18" s="53" t="s">
        <v>48</v>
      </c>
      <c r="D18" s="53" t="s">
        <v>49</v>
      </c>
      <c r="E18" s="54"/>
      <c r="F18" s="55"/>
      <c r="G18" s="54"/>
      <c r="H18" s="56"/>
      <c r="I18" s="56"/>
      <c r="J18" s="56"/>
      <c r="K18" s="56"/>
      <c r="L18" s="56"/>
      <c r="M18" s="56"/>
      <c r="N18" s="56"/>
      <c r="O18" s="56"/>
      <c r="P18" s="56">
        <f t="shared" si="2"/>
        <v>0</v>
      </c>
      <c r="Q18" s="56"/>
      <c r="R18" s="56"/>
    </row>
    <row r="19">
      <c r="A19" s="25"/>
      <c r="B19" s="24">
        <f t="shared" si="1"/>
        <v>13</v>
      </c>
      <c r="C19" s="53" t="s">
        <v>50</v>
      </c>
      <c r="D19" s="53" t="s">
        <v>51</v>
      </c>
      <c r="E19" s="54"/>
      <c r="F19" s="55"/>
      <c r="G19" s="54"/>
      <c r="H19" s="56"/>
      <c r="I19" s="56"/>
      <c r="J19" s="56"/>
      <c r="K19" s="56"/>
      <c r="L19" s="56"/>
      <c r="M19" s="56"/>
      <c r="N19" s="56"/>
      <c r="O19" s="56"/>
      <c r="P19" s="56">
        <f t="shared" si="2"/>
        <v>0</v>
      </c>
      <c r="Q19" s="56"/>
      <c r="R19" s="56"/>
    </row>
    <row r="20">
      <c r="A20" s="25"/>
      <c r="B20" s="24">
        <f t="shared" si="1"/>
        <v>14</v>
      </c>
      <c r="C20" s="53" t="s">
        <v>52</v>
      </c>
      <c r="D20" s="53" t="s">
        <v>53</v>
      </c>
      <c r="E20" s="54"/>
      <c r="F20" s="55"/>
      <c r="G20" s="54"/>
      <c r="H20" s="56"/>
      <c r="I20" s="56"/>
      <c r="J20" s="56"/>
      <c r="K20" s="56"/>
      <c r="L20" s="56"/>
      <c r="M20" s="56"/>
      <c r="N20" s="56"/>
      <c r="O20" s="56"/>
      <c r="P20" s="56">
        <f t="shared" si="2"/>
        <v>0</v>
      </c>
      <c r="Q20" s="56"/>
      <c r="R20" s="56"/>
    </row>
    <row r="21">
      <c r="A21" s="25"/>
      <c r="B21" s="24">
        <f t="shared" si="1"/>
        <v>15</v>
      </c>
      <c r="C21" s="53" t="s">
        <v>54</v>
      </c>
      <c r="D21" s="53" t="s">
        <v>55</v>
      </c>
      <c r="E21" s="54"/>
      <c r="F21" s="55"/>
      <c r="G21" s="54"/>
      <c r="H21" s="56"/>
      <c r="I21" s="56"/>
      <c r="J21" s="56"/>
      <c r="K21" s="56"/>
      <c r="L21" s="56"/>
      <c r="M21" s="56"/>
      <c r="N21" s="56"/>
      <c r="O21" s="56"/>
      <c r="P21" s="56">
        <f t="shared" si="2"/>
        <v>0</v>
      </c>
      <c r="Q21" s="56"/>
      <c r="R21" s="56"/>
    </row>
    <row r="22">
      <c r="A22" s="25"/>
      <c r="B22" s="24">
        <f t="shared" si="1"/>
        <v>16</v>
      </c>
      <c r="C22" s="53" t="s">
        <v>56</v>
      </c>
      <c r="D22" s="53" t="s">
        <v>57</v>
      </c>
      <c r="E22" s="54"/>
      <c r="F22" s="55"/>
      <c r="G22" s="54"/>
      <c r="H22" s="56"/>
      <c r="I22" s="56"/>
      <c r="J22" s="56"/>
      <c r="K22" s="56"/>
      <c r="L22" s="56"/>
      <c r="M22" s="56"/>
      <c r="N22" s="56"/>
      <c r="O22" s="56"/>
      <c r="P22" s="56">
        <f t="shared" si="2"/>
        <v>0</v>
      </c>
      <c r="Q22" s="56"/>
      <c r="R22" s="56"/>
    </row>
    <row r="23">
      <c r="A23" s="25"/>
      <c r="B23" s="24">
        <f t="shared" si="1"/>
        <v>17</v>
      </c>
      <c r="C23" s="53" t="s">
        <v>58</v>
      </c>
      <c r="D23" s="53" t="s">
        <v>59</v>
      </c>
      <c r="E23" s="54"/>
      <c r="F23" s="55"/>
      <c r="G23" s="54"/>
      <c r="H23" s="56"/>
      <c r="I23" s="56"/>
      <c r="J23" s="56"/>
      <c r="K23" s="56"/>
      <c r="L23" s="56"/>
      <c r="M23" s="56"/>
      <c r="N23" s="56"/>
      <c r="O23" s="56"/>
      <c r="P23" s="56">
        <f t="shared" si="2"/>
        <v>0</v>
      </c>
      <c r="Q23" s="56"/>
      <c r="R23" s="56"/>
    </row>
    <row r="24">
      <c r="A24" s="25"/>
      <c r="B24" s="24">
        <f t="shared" si="1"/>
        <v>18</v>
      </c>
      <c r="C24" s="53" t="s">
        <v>60</v>
      </c>
      <c r="D24" s="53" t="s">
        <v>61</v>
      </c>
      <c r="E24" s="54"/>
      <c r="F24" s="55"/>
      <c r="G24" s="54"/>
      <c r="H24" s="56"/>
      <c r="I24" s="56"/>
      <c r="J24" s="56"/>
      <c r="K24" s="56"/>
      <c r="L24" s="56"/>
      <c r="M24" s="56"/>
      <c r="N24" s="56"/>
      <c r="O24" s="56"/>
      <c r="P24" s="56">
        <f t="shared" si="2"/>
        <v>0</v>
      </c>
      <c r="Q24" s="56"/>
      <c r="R24" s="56"/>
    </row>
    <row r="25">
      <c r="A25" s="25"/>
      <c r="B25" s="24">
        <f t="shared" si="1"/>
        <v>19</v>
      </c>
      <c r="C25" s="53" t="s">
        <v>62</v>
      </c>
      <c r="D25" s="53" t="s">
        <v>63</v>
      </c>
      <c r="E25" s="54"/>
      <c r="F25" s="55"/>
      <c r="G25" s="54"/>
      <c r="H25" s="56"/>
      <c r="I25" s="56"/>
      <c r="J25" s="56"/>
      <c r="K25" s="56"/>
      <c r="L25" s="56"/>
      <c r="M25" s="56"/>
      <c r="N25" s="56"/>
      <c r="O25" s="56"/>
      <c r="P25" s="56">
        <f t="shared" si="2"/>
        <v>0</v>
      </c>
      <c r="Q25" s="56"/>
      <c r="R25" s="56"/>
    </row>
    <row r="26">
      <c r="A26" s="17"/>
      <c r="B26" s="57"/>
      <c r="C26" s="57"/>
      <c r="D26" s="58"/>
      <c r="E26" s="59"/>
      <c r="F26" s="5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>
      <c r="A27" s="17"/>
      <c r="B27" s="57"/>
      <c r="C27" s="57"/>
      <c r="D27" s="58"/>
      <c r="E27" s="59"/>
      <c r="F27" s="5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>
      <c r="A28" s="17"/>
      <c r="B28" s="57"/>
      <c r="C28" s="57"/>
      <c r="D28" s="58"/>
      <c r="E28" s="59"/>
      <c r="F28" s="5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ht="15.75" customHeight="1">
      <c r="A29" s="13"/>
      <c r="B29" s="13"/>
      <c r="C29" s="13"/>
      <c r="D29" s="61"/>
      <c r="E29" s="13"/>
      <c r="F29" s="13"/>
      <c r="G29" s="61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ht="15.75" customHeight="1">
      <c r="A30" s="13"/>
      <c r="B30" s="61"/>
      <c r="C30" s="61"/>
      <c r="D30" s="13"/>
      <c r="E30" s="13"/>
      <c r="F30" s="6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ht="15.75" customHeight="1">
      <c r="A31" s="13"/>
      <c r="B31" s="13"/>
      <c r="C31" s="13"/>
      <c r="D31" s="62"/>
      <c r="E31" s="63"/>
      <c r="F31" s="63"/>
      <c r="G31" s="13"/>
      <c r="H31" s="13"/>
      <c r="O31" s="13"/>
      <c r="P31" s="13"/>
      <c r="Q31" s="13"/>
      <c r="R31" s="13"/>
    </row>
    <row r="32" ht="15.75" customHeight="1">
      <c r="A32" s="13"/>
      <c r="B32" s="13"/>
      <c r="C32" s="13"/>
      <c r="D32" s="64"/>
      <c r="E32" s="13"/>
      <c r="F32" s="63"/>
      <c r="G32" s="13"/>
      <c r="H32" s="13"/>
      <c r="O32" s="13"/>
      <c r="P32" s="13"/>
      <c r="Q32" s="13"/>
      <c r="R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21">
    <mergeCell ref="G13:G15"/>
    <mergeCell ref="H13:K13"/>
    <mergeCell ref="H14:H15"/>
    <mergeCell ref="I14:I15"/>
    <mergeCell ref="J14:J15"/>
    <mergeCell ref="K14:K15"/>
    <mergeCell ref="L13:R13"/>
    <mergeCell ref="L14:L15"/>
    <mergeCell ref="M14:M15"/>
    <mergeCell ref="N14:N15"/>
    <mergeCell ref="O14:O15"/>
    <mergeCell ref="P14:P15"/>
    <mergeCell ref="Q14:Q15"/>
    <mergeCell ref="R14:R15"/>
    <mergeCell ref="B1:J1"/>
    <mergeCell ref="B11:R12"/>
    <mergeCell ref="B13:B15"/>
    <mergeCell ref="C13:C15"/>
    <mergeCell ref="D13:D15"/>
    <mergeCell ref="E13:E15"/>
    <mergeCell ref="F13:F15"/>
  </mergeCells>
  <dataValidations>
    <dataValidation type="list" allowBlank="1" showErrorMessage="1" sqref="K16:K25">
      <formula1>"To do,In progress,Review,Done"</formula1>
    </dataValidation>
    <dataValidation type="list" allowBlank="1" showErrorMessage="1" sqref="R16:R25">
      <formula1>"To do,Testing,Fix bug,Regression,Done"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80.75"/>
  </cols>
  <sheetData>
    <row r="1" ht="32.25" customHeight="1">
      <c r="A1" s="65" t="s">
        <v>64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7" t="s">
        <v>65</v>
      </c>
      <c r="B3" s="68"/>
      <c r="C3" s="68"/>
      <c r="D3" s="68"/>
      <c r="E3" s="68"/>
      <c r="F3" s="6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9" t="s">
        <v>66</v>
      </c>
      <c r="B4" s="70" t="s">
        <v>67</v>
      </c>
      <c r="C4" s="71" t="s">
        <v>12</v>
      </c>
      <c r="D4" s="72" t="s">
        <v>68</v>
      </c>
      <c r="E4" s="73" t="s">
        <v>3</v>
      </c>
      <c r="F4" s="73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4"/>
      <c r="B5" s="75"/>
      <c r="C5" s="76"/>
      <c r="D5" s="76"/>
      <c r="E5" s="76"/>
      <c r="F5" s="7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77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7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7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77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7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77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77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77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77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77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7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7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77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77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7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7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7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7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7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7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7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7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7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7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7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7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7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7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7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7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7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7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7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7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7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7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7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7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7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7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7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7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7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7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7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7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7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7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7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7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7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7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77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7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7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7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7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7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7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7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7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77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7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7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77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7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77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7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77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77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7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7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77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77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77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77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7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77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7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77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7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77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77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7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77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7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7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7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77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77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7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7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7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77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77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7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7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7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7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77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7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7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7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77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77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77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77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77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77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77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77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77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77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77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77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7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77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77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77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77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7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77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77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7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77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7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77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77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7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77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7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7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77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77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77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77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77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77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77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77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77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7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7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7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77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77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77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77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7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7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7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1"/>
    <mergeCell ref="A2:D2"/>
    <mergeCell ref="A3:F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2" max="2" width="30.63"/>
    <col customWidth="1" min="3" max="3" width="27.25"/>
    <col customWidth="1" min="4" max="4" width="29.38"/>
    <col customWidth="1" min="5" max="5" width="48.63"/>
    <col customWidth="1" min="6" max="28" width="15.0"/>
  </cols>
  <sheetData>
    <row r="1" ht="15.75" customHeight="1">
      <c r="A1" s="78" t="s">
        <v>69</v>
      </c>
      <c r="B1" s="79" t="s">
        <v>70</v>
      </c>
      <c r="C1" s="68"/>
      <c r="D1" s="80"/>
      <c r="E1" s="81"/>
      <c r="F1" s="82" t="s">
        <v>17</v>
      </c>
      <c r="G1" s="82" t="s">
        <v>18</v>
      </c>
      <c r="H1" s="82" t="s">
        <v>19</v>
      </c>
      <c r="I1" s="82" t="s">
        <v>20</v>
      </c>
      <c r="J1" s="82" t="s">
        <v>21</v>
      </c>
      <c r="K1" s="82" t="s">
        <v>26</v>
      </c>
      <c r="L1" s="82" t="s">
        <v>71</v>
      </c>
      <c r="M1" s="82" t="s">
        <v>72</v>
      </c>
      <c r="N1" s="82" t="s">
        <v>73</v>
      </c>
      <c r="P1" s="4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</row>
    <row r="2" ht="15.75" customHeight="1">
      <c r="A2" s="78" t="s">
        <v>74</v>
      </c>
      <c r="B2" s="79" t="s">
        <v>75</v>
      </c>
      <c r="C2" s="68"/>
      <c r="D2" s="80"/>
      <c r="E2" s="84" t="s">
        <v>22</v>
      </c>
      <c r="F2" s="82">
        <f>COUNTIF(G11:G1102, "Pass") + COUNTIF(W11:W994, "Pass")</f>
        <v>0</v>
      </c>
      <c r="G2" s="82">
        <f>COUNTIF(G11:G1102, "Fail") - COUNTIF(W11:W994, "Pass") - COUNTIF(W11:W994, "Accepted")</f>
        <v>0</v>
      </c>
      <c r="H2" s="82">
        <f>COUNTIF($G$11:$G$1102, "Pending")</f>
        <v>0</v>
      </c>
      <c r="I2" s="82">
        <f>COUNTIF($G$11:$G$1102, "N/A")</f>
        <v>0</v>
      </c>
      <c r="J2" s="82">
        <f>COUNTIF($G$11:$G$1102, "Untested")</f>
        <v>0</v>
      </c>
      <c r="K2" s="82">
        <f t="shared" ref="K2:K6" si="1">SUM(F2:J2)</f>
        <v>0</v>
      </c>
      <c r="L2" s="85">
        <f t="shared" ref="L2:L6" si="2">IFERROR(($F2+G2)/($K2-$I2-$H2),0)</f>
        <v>0</v>
      </c>
      <c r="M2" s="82">
        <f>COUNTIF($J$10:$J994, "&lt;&gt;")</f>
        <v>0</v>
      </c>
      <c r="N2" s="85">
        <f t="shared" ref="N2:N6" si="3">IFERROR(F2/(K2-I2-H2),0)</f>
        <v>0</v>
      </c>
      <c r="P2" s="4"/>
      <c r="Q2" s="83"/>
      <c r="R2" s="83"/>
      <c r="S2" s="86"/>
      <c r="T2" s="87"/>
      <c r="U2" s="88"/>
      <c r="V2" s="88"/>
      <c r="W2" s="88"/>
      <c r="X2" s="88"/>
      <c r="Y2" s="88"/>
      <c r="Z2" s="88"/>
      <c r="AA2" s="88"/>
      <c r="AB2" s="88"/>
    </row>
    <row r="3" ht="15.75" customHeight="1">
      <c r="A3" s="78" t="s">
        <v>30</v>
      </c>
      <c r="B3" s="79"/>
      <c r="C3" s="68"/>
      <c r="D3" s="80"/>
      <c r="E3" s="84" t="s">
        <v>76</v>
      </c>
      <c r="F3" s="82">
        <f>COUNTIF(K11:K1103, "Pass") + COUNTIF(X11:X994, "Pass")</f>
        <v>0</v>
      </c>
      <c r="G3" s="82">
        <f>COUNTIF(K11:K1103, "Fail") - COUNTIF(X11:X994, "Pass") - COUNTIF(X11:X994, "Accepted")</f>
        <v>0</v>
      </c>
      <c r="H3" s="82">
        <f>COUNTIF($K$11:$K$1103, "Pending")</f>
        <v>0</v>
      </c>
      <c r="I3" s="82">
        <f>COUNTIF($K$11:$K$1103, "N/A")</f>
        <v>0</v>
      </c>
      <c r="J3" s="82">
        <f>COUNTIF($K$11:$K$1103, "Untested")</f>
        <v>0</v>
      </c>
      <c r="K3" s="82">
        <f t="shared" si="1"/>
        <v>0</v>
      </c>
      <c r="L3" s="85">
        <f t="shared" si="2"/>
        <v>0</v>
      </c>
      <c r="M3" s="82">
        <f>COUNTIF($N$10:$N994, "&lt;&gt;")</f>
        <v>0</v>
      </c>
      <c r="N3" s="85">
        <f t="shared" si="3"/>
        <v>0</v>
      </c>
      <c r="P3" s="4"/>
      <c r="Q3" s="83"/>
      <c r="R3" s="83"/>
      <c r="S3" s="86"/>
      <c r="T3" s="87"/>
      <c r="U3" s="88"/>
      <c r="V3" s="88"/>
      <c r="W3" s="88"/>
      <c r="X3" s="88"/>
      <c r="Y3" s="88"/>
      <c r="Z3" s="88"/>
      <c r="AA3" s="88"/>
      <c r="AB3" s="88"/>
    </row>
    <row r="4" ht="15.75" customHeight="1">
      <c r="A4" s="78" t="s">
        <v>8</v>
      </c>
      <c r="B4" s="89"/>
      <c r="C4" s="90" t="s">
        <v>10</v>
      </c>
      <c r="D4" s="91"/>
      <c r="E4" s="84" t="s">
        <v>24</v>
      </c>
      <c r="F4" s="82">
        <f>COUNTIF(O11:O1104, "Pass") + COUNTIF(Y11:Y994, "Pass")</f>
        <v>0</v>
      </c>
      <c r="G4" s="82">
        <f>COUNTIF(O11:O1104, "Fail") - COUNTIF(Y11:Y994, "Pass") - COUNTIF(Y11:Y994, "Accepted")</f>
        <v>0</v>
      </c>
      <c r="H4" s="82">
        <f>COUNTIF($O$11:$O$1104, "Pending")</f>
        <v>0</v>
      </c>
      <c r="I4" s="82">
        <f>COUNTIF($O$11:$O$1104, "N/A")</f>
        <v>0</v>
      </c>
      <c r="J4" s="82">
        <f>COUNTIF($O$11:$O$1104, "Untested")</f>
        <v>0</v>
      </c>
      <c r="K4" s="82">
        <f t="shared" si="1"/>
        <v>0</v>
      </c>
      <c r="L4" s="85">
        <f t="shared" si="2"/>
        <v>0</v>
      </c>
      <c r="M4" s="82">
        <f>COUNTIF($R$10:$R994, "&lt;&gt;")</f>
        <v>0</v>
      </c>
      <c r="N4" s="85">
        <f t="shared" si="3"/>
        <v>0</v>
      </c>
      <c r="P4" s="4"/>
      <c r="Q4" s="83"/>
      <c r="R4" s="83"/>
      <c r="S4" s="86"/>
      <c r="T4" s="87"/>
      <c r="U4" s="88"/>
      <c r="V4" s="88"/>
      <c r="W4" s="88"/>
      <c r="X4" s="88"/>
      <c r="Y4" s="88"/>
      <c r="Z4" s="88"/>
      <c r="AA4" s="88"/>
      <c r="AB4" s="88"/>
    </row>
    <row r="5" ht="15.75" customHeight="1">
      <c r="A5" s="78" t="s">
        <v>77</v>
      </c>
      <c r="B5" s="89"/>
      <c r="C5" s="90" t="s">
        <v>78</v>
      </c>
      <c r="D5" s="91"/>
      <c r="E5" s="84" t="s">
        <v>25</v>
      </c>
      <c r="F5" s="82">
        <f>COUNTIF(S11:S1105, "Pass") + COUNTIF(Z11:Z994, "Pass")</f>
        <v>0</v>
      </c>
      <c r="G5" s="82">
        <f>COUNTIF(S11:S1105, "Fail") - COUNTIF(Z11:Z994, "Pass") - COUNTIF(Z11:Z994, "Accepted")</f>
        <v>0</v>
      </c>
      <c r="H5" s="82">
        <f>COUNTIF($S$11:$S$1105, "Pending")</f>
        <v>0</v>
      </c>
      <c r="I5" s="82">
        <f>COUNTIF($S$11:$S$1105, "N/A")</f>
        <v>0</v>
      </c>
      <c r="J5" s="82">
        <f>COUNTIF($S$11:$S$1105, "Untested")</f>
        <v>0</v>
      </c>
      <c r="K5" s="82">
        <f t="shared" si="1"/>
        <v>0</v>
      </c>
      <c r="L5" s="85">
        <f t="shared" si="2"/>
        <v>0</v>
      </c>
      <c r="M5" s="82">
        <f>COUNTIF($V$10:$V994, "&lt;&gt;")</f>
        <v>0</v>
      </c>
      <c r="N5" s="85">
        <f t="shared" si="3"/>
        <v>0</v>
      </c>
      <c r="P5" s="4"/>
      <c r="Q5" s="83"/>
      <c r="R5" s="83"/>
      <c r="S5" s="86"/>
      <c r="T5" s="87"/>
      <c r="U5" s="88"/>
      <c r="V5" s="88"/>
      <c r="W5" s="88"/>
      <c r="X5" s="88"/>
      <c r="Y5" s="88"/>
      <c r="Z5" s="88"/>
      <c r="AA5" s="88"/>
      <c r="AB5" s="88"/>
    </row>
    <row r="6" ht="15.75" customHeight="1">
      <c r="A6" s="78" t="s">
        <v>79</v>
      </c>
      <c r="B6" s="79"/>
      <c r="C6" s="68"/>
      <c r="D6" s="80"/>
      <c r="E6" s="84" t="s">
        <v>26</v>
      </c>
      <c r="F6" s="82">
        <f t="shared" ref="F6:J6" si="4">SUM(F2:F5)</f>
        <v>0</v>
      </c>
      <c r="G6" s="82">
        <f t="shared" si="4"/>
        <v>0</v>
      </c>
      <c r="H6" s="82">
        <f t="shared" si="4"/>
        <v>0</v>
      </c>
      <c r="I6" s="82">
        <f t="shared" si="4"/>
        <v>0</v>
      </c>
      <c r="J6" s="82">
        <f t="shared" si="4"/>
        <v>0</v>
      </c>
      <c r="K6" s="82">
        <f t="shared" si="1"/>
        <v>0</v>
      </c>
      <c r="L6" s="85">
        <f t="shared" si="2"/>
        <v>0</v>
      </c>
      <c r="M6" s="82">
        <f>SUM(M2:M5)</f>
        <v>0</v>
      </c>
      <c r="N6" s="85">
        <f t="shared" si="3"/>
        <v>0</v>
      </c>
      <c r="P6" s="4"/>
      <c r="Q6" s="83"/>
      <c r="R6" s="83"/>
      <c r="S6" s="86"/>
      <c r="T6" s="87"/>
      <c r="U6" s="88"/>
      <c r="V6" s="88"/>
      <c r="W6" s="88"/>
      <c r="X6" s="88"/>
      <c r="Y6" s="88"/>
      <c r="Z6" s="88"/>
      <c r="AA6" s="88"/>
      <c r="AB6" s="88"/>
    </row>
    <row r="7" ht="15.75" customHeight="1">
      <c r="A7" s="92" t="s">
        <v>80</v>
      </c>
      <c r="B7" s="93" t="s">
        <v>81</v>
      </c>
      <c r="C7" s="93" t="s">
        <v>82</v>
      </c>
      <c r="D7" s="94" t="s">
        <v>83</v>
      </c>
      <c r="E7" s="94" t="s">
        <v>84</v>
      </c>
      <c r="F7" s="94" t="s">
        <v>85</v>
      </c>
      <c r="G7" s="95" t="s">
        <v>86</v>
      </c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80"/>
      <c r="W7" s="95" t="s">
        <v>87</v>
      </c>
      <c r="X7" s="68"/>
      <c r="Y7" s="68"/>
      <c r="Z7" s="68"/>
      <c r="AA7" s="68"/>
      <c r="AB7" s="80"/>
    </row>
    <row r="8" ht="15.75" customHeight="1">
      <c r="A8" s="96"/>
      <c r="B8" s="96"/>
      <c r="C8" s="96"/>
      <c r="D8" s="96"/>
      <c r="E8" s="96"/>
      <c r="F8" s="96"/>
      <c r="G8" s="95" t="s">
        <v>22</v>
      </c>
      <c r="H8" s="68"/>
      <c r="I8" s="68"/>
      <c r="J8" s="80"/>
      <c r="K8" s="95" t="s">
        <v>23</v>
      </c>
      <c r="L8" s="68"/>
      <c r="M8" s="68"/>
      <c r="N8" s="80"/>
      <c r="O8" s="95" t="s">
        <v>24</v>
      </c>
      <c r="P8" s="68"/>
      <c r="Q8" s="68"/>
      <c r="R8" s="80"/>
      <c r="S8" s="95" t="s">
        <v>25</v>
      </c>
      <c r="T8" s="68"/>
      <c r="U8" s="68"/>
      <c r="V8" s="80"/>
      <c r="W8" s="95" t="s">
        <v>88</v>
      </c>
      <c r="X8" s="68"/>
      <c r="Y8" s="68"/>
      <c r="Z8" s="80"/>
      <c r="AA8" s="97" t="s">
        <v>89</v>
      </c>
      <c r="AB8" s="97" t="s">
        <v>37</v>
      </c>
    </row>
    <row r="9" ht="15.75" customHeight="1">
      <c r="A9" s="98"/>
      <c r="B9" s="99"/>
      <c r="C9" s="99"/>
      <c r="D9" s="99"/>
      <c r="E9" s="99"/>
      <c r="F9" s="98"/>
      <c r="G9" s="92" t="s">
        <v>90</v>
      </c>
      <c r="H9" s="100" t="s">
        <v>37</v>
      </c>
      <c r="I9" s="101" t="s">
        <v>89</v>
      </c>
      <c r="J9" s="102" t="s">
        <v>91</v>
      </c>
      <c r="K9" s="92" t="s">
        <v>90</v>
      </c>
      <c r="L9" s="100" t="s">
        <v>37</v>
      </c>
      <c r="M9" s="101" t="s">
        <v>89</v>
      </c>
      <c r="N9" s="102" t="s">
        <v>91</v>
      </c>
      <c r="O9" s="92" t="s">
        <v>90</v>
      </c>
      <c r="P9" s="100" t="s">
        <v>37</v>
      </c>
      <c r="Q9" s="101" t="s">
        <v>89</v>
      </c>
      <c r="R9" s="102" t="s">
        <v>91</v>
      </c>
      <c r="S9" s="92" t="s">
        <v>90</v>
      </c>
      <c r="T9" s="103" t="s">
        <v>37</v>
      </c>
      <c r="U9" s="82" t="s">
        <v>89</v>
      </c>
      <c r="V9" s="102" t="s">
        <v>91</v>
      </c>
      <c r="W9" s="82" t="s">
        <v>22</v>
      </c>
      <c r="X9" s="82" t="s">
        <v>23</v>
      </c>
      <c r="Y9" s="82" t="s">
        <v>24</v>
      </c>
      <c r="Z9" s="82" t="s">
        <v>25</v>
      </c>
      <c r="AA9" s="98"/>
      <c r="AB9" s="98"/>
    </row>
    <row r="10">
      <c r="A10" s="104"/>
      <c r="B10" s="79"/>
      <c r="C10" s="105"/>
      <c r="D10" s="105"/>
      <c r="E10" s="105"/>
      <c r="F10" s="106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7"/>
      <c r="V10" s="107"/>
      <c r="W10" s="107"/>
      <c r="X10" s="107"/>
      <c r="Y10" s="107"/>
      <c r="Z10" s="107"/>
      <c r="AA10" s="107"/>
      <c r="AB10" s="107"/>
    </row>
    <row r="11" ht="88.5" customHeight="1">
      <c r="A11" s="108"/>
      <c r="B11" s="109"/>
      <c r="C11" s="110"/>
      <c r="D11" s="110"/>
      <c r="E11" s="111"/>
      <c r="F11" s="112"/>
      <c r="G11" s="113"/>
      <c r="H11" s="114"/>
      <c r="I11" s="115"/>
      <c r="J11" s="115"/>
      <c r="K11" s="113"/>
      <c r="L11" s="114"/>
      <c r="M11" s="115"/>
      <c r="N11" s="115"/>
      <c r="O11" s="113"/>
      <c r="P11" s="114"/>
      <c r="Q11" s="115"/>
      <c r="R11" s="115"/>
      <c r="S11" s="113"/>
      <c r="T11" s="114"/>
      <c r="U11" s="116"/>
      <c r="V11" s="116"/>
      <c r="W11" s="113"/>
      <c r="X11" s="113"/>
      <c r="Y11" s="113"/>
      <c r="Z11" s="113"/>
      <c r="AA11" s="116"/>
      <c r="AB11" s="116"/>
    </row>
    <row r="12" ht="105.75" customHeight="1">
      <c r="A12" s="108"/>
      <c r="B12" s="109"/>
      <c r="C12" s="110"/>
      <c r="D12" s="110"/>
      <c r="E12" s="117"/>
      <c r="F12" s="112"/>
      <c r="G12" s="113"/>
      <c r="H12" s="114"/>
      <c r="I12" s="115"/>
      <c r="J12" s="115"/>
      <c r="K12" s="113"/>
      <c r="L12" s="114"/>
      <c r="M12" s="115"/>
      <c r="N12" s="115"/>
      <c r="O12" s="113"/>
      <c r="P12" s="114"/>
      <c r="Q12" s="115"/>
      <c r="R12" s="115"/>
      <c r="S12" s="113"/>
      <c r="T12" s="114"/>
      <c r="U12" s="116"/>
      <c r="V12" s="116"/>
      <c r="W12" s="113"/>
      <c r="X12" s="113"/>
      <c r="Y12" s="113"/>
      <c r="Z12" s="113"/>
      <c r="AA12" s="116"/>
      <c r="AB12" s="116"/>
    </row>
    <row r="13" ht="63.75" customHeight="1">
      <c r="A13" s="108"/>
      <c r="B13" s="109"/>
      <c r="C13" s="110"/>
      <c r="D13" s="110"/>
      <c r="E13" s="117"/>
      <c r="F13" s="112"/>
      <c r="G13" s="113"/>
      <c r="H13" s="114"/>
      <c r="I13" s="115"/>
      <c r="J13" s="115"/>
      <c r="K13" s="113"/>
      <c r="L13" s="114"/>
      <c r="M13" s="115"/>
      <c r="N13" s="115"/>
      <c r="O13" s="113"/>
      <c r="P13" s="114"/>
      <c r="Q13" s="115"/>
      <c r="R13" s="115"/>
      <c r="S13" s="113"/>
      <c r="T13" s="114"/>
      <c r="U13" s="116"/>
      <c r="V13" s="116"/>
      <c r="W13" s="113"/>
      <c r="X13" s="113"/>
      <c r="Y13" s="113"/>
      <c r="Z13" s="113"/>
      <c r="AA13" s="116"/>
      <c r="AB13" s="116"/>
    </row>
    <row r="14" ht="63.75" customHeight="1">
      <c r="A14" s="108"/>
      <c r="B14" s="109"/>
      <c r="C14" s="110"/>
      <c r="D14" s="110"/>
      <c r="E14" s="117"/>
      <c r="F14" s="112"/>
      <c r="G14" s="113"/>
      <c r="H14" s="114"/>
      <c r="I14" s="115"/>
      <c r="J14" s="115"/>
      <c r="K14" s="113"/>
      <c r="L14" s="114"/>
      <c r="M14" s="115"/>
      <c r="N14" s="115"/>
      <c r="O14" s="113"/>
      <c r="P14" s="114"/>
      <c r="Q14" s="115"/>
      <c r="R14" s="115"/>
      <c r="S14" s="113"/>
      <c r="T14" s="114"/>
      <c r="U14" s="116"/>
      <c r="V14" s="116"/>
      <c r="W14" s="113"/>
      <c r="X14" s="113"/>
      <c r="Y14" s="113"/>
      <c r="Z14" s="113"/>
      <c r="AA14" s="116"/>
      <c r="AB14" s="116"/>
    </row>
    <row r="15">
      <c r="A15" s="104"/>
      <c r="B15" s="79"/>
      <c r="C15" s="105"/>
      <c r="D15" s="105"/>
      <c r="E15" s="105"/>
      <c r="F15" s="106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</row>
    <row r="16" ht="88.5" customHeight="1">
      <c r="A16" s="108"/>
      <c r="B16" s="109"/>
      <c r="C16" s="110"/>
      <c r="D16" s="110"/>
      <c r="E16" s="117"/>
      <c r="F16" s="112"/>
      <c r="G16" s="113"/>
      <c r="H16" s="114"/>
      <c r="I16" s="115"/>
      <c r="J16" s="115"/>
      <c r="K16" s="113"/>
      <c r="L16" s="114"/>
      <c r="M16" s="115"/>
      <c r="N16" s="115"/>
      <c r="O16" s="113"/>
      <c r="P16" s="114"/>
      <c r="Q16" s="115"/>
      <c r="R16" s="115"/>
      <c r="S16" s="113"/>
      <c r="T16" s="114"/>
      <c r="U16" s="118"/>
      <c r="V16" s="118"/>
      <c r="W16" s="113"/>
      <c r="X16" s="113"/>
      <c r="Y16" s="113"/>
      <c r="Z16" s="113"/>
      <c r="AA16" s="118"/>
      <c r="AB16" s="118"/>
    </row>
    <row r="17" ht="105.75" customHeight="1">
      <c r="A17" s="108"/>
      <c r="B17" s="109"/>
      <c r="C17" s="110"/>
      <c r="D17" s="110"/>
      <c r="E17" s="117"/>
      <c r="F17" s="112"/>
      <c r="G17" s="113"/>
      <c r="H17" s="114"/>
      <c r="I17" s="115"/>
      <c r="J17" s="115"/>
      <c r="K17" s="113"/>
      <c r="L17" s="114"/>
      <c r="M17" s="115"/>
      <c r="N17" s="115"/>
      <c r="O17" s="113"/>
      <c r="P17" s="114"/>
      <c r="Q17" s="115"/>
      <c r="R17" s="115"/>
      <c r="S17" s="113"/>
      <c r="T17" s="114"/>
      <c r="U17" s="118"/>
      <c r="V17" s="118"/>
      <c r="W17" s="113"/>
      <c r="X17" s="113"/>
      <c r="Y17" s="113"/>
      <c r="Z17" s="113"/>
      <c r="AA17" s="118"/>
      <c r="AB17" s="118"/>
    </row>
    <row r="18" ht="15.75" customHeight="1">
      <c r="A18" s="108"/>
      <c r="B18" s="109"/>
      <c r="C18" s="110"/>
      <c r="D18" s="110"/>
      <c r="E18" s="117"/>
      <c r="F18" s="112"/>
      <c r="G18" s="119"/>
      <c r="H18" s="120"/>
      <c r="I18" s="121"/>
      <c r="J18" s="121"/>
      <c r="K18" s="119"/>
      <c r="L18" s="120"/>
      <c r="M18" s="121"/>
      <c r="N18" s="121"/>
      <c r="O18" s="119"/>
      <c r="P18" s="120"/>
      <c r="Q18" s="121"/>
      <c r="R18" s="121"/>
      <c r="S18" s="119"/>
      <c r="T18" s="120"/>
      <c r="U18" s="118"/>
      <c r="V18" s="118"/>
      <c r="W18" s="118"/>
      <c r="X18" s="118"/>
      <c r="Y18" s="118"/>
      <c r="Z18" s="118"/>
      <c r="AA18" s="118"/>
      <c r="AB18" s="118"/>
    </row>
    <row r="19" ht="15.75" customHeight="1">
      <c r="A19" s="108"/>
      <c r="B19" s="109"/>
      <c r="C19" s="110"/>
      <c r="D19" s="110"/>
      <c r="E19" s="117"/>
      <c r="F19" s="112"/>
      <c r="G19" s="119"/>
      <c r="H19" s="120"/>
      <c r="I19" s="121"/>
      <c r="J19" s="121"/>
      <c r="K19" s="119"/>
      <c r="L19" s="120"/>
      <c r="M19" s="121"/>
      <c r="N19" s="121"/>
      <c r="O19" s="119"/>
      <c r="P19" s="120"/>
      <c r="Q19" s="121"/>
      <c r="R19" s="121"/>
      <c r="S19" s="119"/>
      <c r="T19" s="120"/>
      <c r="U19" s="118"/>
      <c r="V19" s="118"/>
      <c r="W19" s="118"/>
      <c r="X19" s="118"/>
      <c r="Y19" s="118"/>
      <c r="Z19" s="118"/>
      <c r="AA19" s="118"/>
      <c r="AB19" s="118"/>
    </row>
    <row r="20" ht="15.75" customHeight="1">
      <c r="A20" s="108"/>
      <c r="B20" s="109"/>
      <c r="C20" s="110"/>
      <c r="D20" s="110"/>
      <c r="E20" s="117"/>
      <c r="F20" s="112"/>
      <c r="G20" s="119"/>
      <c r="H20" s="120"/>
      <c r="I20" s="121"/>
      <c r="J20" s="121"/>
      <c r="K20" s="119"/>
      <c r="L20" s="120"/>
      <c r="M20" s="121"/>
      <c r="N20" s="121"/>
      <c r="O20" s="119"/>
      <c r="P20" s="120"/>
      <c r="Q20" s="121"/>
      <c r="R20" s="121"/>
      <c r="S20" s="119"/>
      <c r="T20" s="120"/>
      <c r="U20" s="118"/>
      <c r="V20" s="118"/>
      <c r="W20" s="118"/>
      <c r="X20" s="118"/>
      <c r="Y20" s="118"/>
      <c r="Z20" s="118"/>
      <c r="AA20" s="118"/>
      <c r="AB20" s="118"/>
    </row>
    <row r="21" ht="15.75" customHeight="1">
      <c r="A21" s="108"/>
      <c r="B21" s="122"/>
      <c r="C21" s="110"/>
      <c r="D21" s="110"/>
      <c r="E21" s="117"/>
      <c r="F21" s="123"/>
      <c r="G21" s="119"/>
      <c r="H21" s="120"/>
      <c r="I21" s="121"/>
      <c r="J21" s="121"/>
      <c r="K21" s="119"/>
      <c r="L21" s="120"/>
      <c r="M21" s="121"/>
      <c r="N21" s="121"/>
      <c r="O21" s="119"/>
      <c r="P21" s="120"/>
      <c r="Q21" s="121"/>
      <c r="R21" s="121"/>
      <c r="S21" s="119"/>
      <c r="T21" s="120"/>
      <c r="U21" s="118"/>
      <c r="V21" s="124"/>
      <c r="W21" s="124"/>
      <c r="X21" s="124"/>
      <c r="Y21" s="124"/>
      <c r="Z21" s="124"/>
      <c r="AA21" s="124"/>
      <c r="AB21" s="124"/>
    </row>
    <row r="22" ht="15.75" customHeight="1">
      <c r="A22" s="108"/>
      <c r="B22" s="122"/>
      <c r="C22" s="110"/>
      <c r="D22" s="110"/>
      <c r="E22" s="117"/>
      <c r="F22" s="125"/>
      <c r="G22" s="119"/>
      <c r="H22" s="120"/>
      <c r="I22" s="121"/>
      <c r="J22" s="121"/>
      <c r="K22" s="119"/>
      <c r="L22" s="120"/>
      <c r="M22" s="121"/>
      <c r="N22" s="121"/>
      <c r="O22" s="119"/>
      <c r="P22" s="120"/>
      <c r="Q22" s="121"/>
      <c r="R22" s="121"/>
      <c r="S22" s="119"/>
      <c r="T22" s="120"/>
      <c r="U22" s="126"/>
      <c r="V22" s="127"/>
      <c r="W22" s="127"/>
      <c r="X22" s="127"/>
      <c r="Y22" s="127"/>
      <c r="Z22" s="127"/>
      <c r="AA22" s="127"/>
      <c r="AB22" s="127"/>
    </row>
    <row r="23" ht="15.75" customHeight="1">
      <c r="A23" s="108"/>
      <c r="B23" s="122"/>
      <c r="C23" s="110"/>
      <c r="D23" s="110"/>
      <c r="E23" s="117"/>
      <c r="F23" s="125"/>
      <c r="G23" s="119"/>
      <c r="H23" s="120"/>
      <c r="I23" s="121"/>
      <c r="J23" s="121"/>
      <c r="K23" s="119"/>
      <c r="L23" s="120"/>
      <c r="M23" s="121"/>
      <c r="N23" s="121"/>
      <c r="O23" s="119"/>
      <c r="P23" s="120"/>
      <c r="Q23" s="121"/>
      <c r="R23" s="121"/>
      <c r="S23" s="119"/>
      <c r="T23" s="120"/>
      <c r="U23" s="126"/>
      <c r="V23" s="127"/>
      <c r="W23" s="127"/>
      <c r="X23" s="127"/>
      <c r="Y23" s="127"/>
      <c r="Z23" s="127"/>
      <c r="AA23" s="127"/>
      <c r="AB23" s="127"/>
    </row>
    <row r="24" ht="15.75" customHeight="1">
      <c r="A24" s="108"/>
      <c r="B24" s="122"/>
      <c r="C24" s="110"/>
      <c r="D24" s="110"/>
      <c r="E24" s="117"/>
      <c r="F24" s="125"/>
      <c r="G24" s="119"/>
      <c r="H24" s="120"/>
      <c r="I24" s="121"/>
      <c r="J24" s="121"/>
      <c r="K24" s="119"/>
      <c r="L24" s="120"/>
      <c r="M24" s="121"/>
      <c r="N24" s="121"/>
      <c r="O24" s="119"/>
      <c r="P24" s="120"/>
      <c r="Q24" s="121"/>
      <c r="R24" s="121"/>
      <c r="S24" s="119"/>
      <c r="T24" s="120"/>
      <c r="U24" s="126"/>
      <c r="V24" s="127"/>
      <c r="W24" s="127"/>
      <c r="X24" s="127"/>
      <c r="Y24" s="127"/>
      <c r="Z24" s="127"/>
      <c r="AA24" s="127"/>
      <c r="AB24" s="127"/>
    </row>
    <row r="25" ht="15.75" customHeight="1">
      <c r="A25" s="108"/>
      <c r="B25" s="122"/>
      <c r="C25" s="110"/>
      <c r="D25" s="110"/>
      <c r="E25" s="117"/>
      <c r="F25" s="125"/>
      <c r="G25" s="119"/>
      <c r="H25" s="120"/>
      <c r="I25" s="121"/>
      <c r="J25" s="121"/>
      <c r="K25" s="119"/>
      <c r="L25" s="120"/>
      <c r="M25" s="121"/>
      <c r="N25" s="121"/>
      <c r="O25" s="119"/>
      <c r="P25" s="120"/>
      <c r="Q25" s="121"/>
      <c r="R25" s="121"/>
      <c r="S25" s="119"/>
      <c r="T25" s="120"/>
      <c r="U25" s="126"/>
      <c r="V25" s="127"/>
      <c r="W25" s="127"/>
      <c r="X25" s="127"/>
      <c r="Y25" s="127"/>
      <c r="Z25" s="127"/>
      <c r="AA25" s="127"/>
      <c r="AB25" s="127"/>
    </row>
    <row r="26" ht="15.75" customHeight="1">
      <c r="A26" s="108"/>
      <c r="B26" s="122"/>
      <c r="C26" s="110"/>
      <c r="D26" s="110"/>
      <c r="E26" s="117"/>
      <c r="F26" s="125"/>
      <c r="G26" s="119"/>
      <c r="H26" s="120"/>
      <c r="I26" s="121"/>
      <c r="J26" s="121"/>
      <c r="K26" s="119"/>
      <c r="L26" s="120"/>
      <c r="M26" s="121"/>
      <c r="N26" s="121"/>
      <c r="O26" s="119"/>
      <c r="P26" s="120"/>
      <c r="Q26" s="121"/>
      <c r="R26" s="121"/>
      <c r="S26" s="119"/>
      <c r="T26" s="120"/>
      <c r="U26" s="126"/>
      <c r="V26" s="127"/>
      <c r="W26" s="127"/>
      <c r="X26" s="127"/>
      <c r="Y26" s="127"/>
      <c r="Z26" s="127"/>
      <c r="AA26" s="127"/>
      <c r="AB26" s="127"/>
    </row>
    <row r="27" ht="15.75" customHeight="1">
      <c r="A27" s="108"/>
      <c r="B27" s="122"/>
      <c r="C27" s="110"/>
      <c r="D27" s="110"/>
      <c r="E27" s="117"/>
      <c r="F27" s="125"/>
      <c r="G27" s="119"/>
      <c r="H27" s="120"/>
      <c r="I27" s="121"/>
      <c r="J27" s="121"/>
      <c r="K27" s="119"/>
      <c r="L27" s="120"/>
      <c r="M27" s="121"/>
      <c r="N27" s="121"/>
      <c r="O27" s="119"/>
      <c r="P27" s="120"/>
      <c r="Q27" s="121"/>
      <c r="R27" s="121"/>
      <c r="S27" s="119"/>
      <c r="T27" s="120"/>
      <c r="U27" s="126"/>
      <c r="V27" s="127"/>
      <c r="W27" s="127"/>
      <c r="X27" s="127"/>
      <c r="Y27" s="127"/>
      <c r="Z27" s="127"/>
      <c r="AA27" s="127"/>
      <c r="AB27" s="127"/>
    </row>
    <row r="28" ht="15.75" customHeight="1">
      <c r="A28" s="108"/>
      <c r="B28" s="122"/>
      <c r="C28" s="110"/>
      <c r="D28" s="110"/>
      <c r="E28" s="117"/>
      <c r="F28" s="125"/>
      <c r="G28" s="119"/>
      <c r="H28" s="120"/>
      <c r="I28" s="121"/>
      <c r="J28" s="121"/>
      <c r="K28" s="119"/>
      <c r="L28" s="120"/>
      <c r="M28" s="121"/>
      <c r="N28" s="121"/>
      <c r="O28" s="119"/>
      <c r="P28" s="120"/>
      <c r="Q28" s="121"/>
      <c r="R28" s="121"/>
      <c r="S28" s="119"/>
      <c r="T28" s="120"/>
      <c r="U28" s="126"/>
      <c r="V28" s="127"/>
      <c r="W28" s="127"/>
      <c r="X28" s="127"/>
      <c r="Y28" s="127"/>
      <c r="Z28" s="127"/>
      <c r="AA28" s="127"/>
      <c r="AB28" s="127"/>
    </row>
    <row r="29" ht="15.75" customHeight="1">
      <c r="A29" s="108"/>
      <c r="B29" s="122"/>
      <c r="C29" s="110"/>
      <c r="D29" s="110"/>
      <c r="E29" s="117"/>
      <c r="F29" s="125"/>
      <c r="G29" s="119"/>
      <c r="H29" s="120"/>
      <c r="I29" s="121"/>
      <c r="J29" s="121"/>
      <c r="K29" s="119"/>
      <c r="L29" s="120"/>
      <c r="M29" s="121"/>
      <c r="N29" s="121"/>
      <c r="O29" s="119"/>
      <c r="P29" s="120"/>
      <c r="Q29" s="121"/>
      <c r="R29" s="121"/>
      <c r="S29" s="119"/>
      <c r="T29" s="120"/>
      <c r="U29" s="126"/>
      <c r="V29" s="127"/>
      <c r="W29" s="127"/>
      <c r="X29" s="127"/>
      <c r="Y29" s="127"/>
      <c r="Z29" s="127"/>
      <c r="AA29" s="127"/>
      <c r="AB29" s="127"/>
    </row>
    <row r="30" ht="15.75" customHeight="1">
      <c r="A30" s="108"/>
      <c r="B30" s="122"/>
      <c r="C30" s="110"/>
      <c r="D30" s="110"/>
      <c r="E30" s="117"/>
      <c r="F30" s="125"/>
      <c r="G30" s="119"/>
      <c r="H30" s="120"/>
      <c r="I30" s="121"/>
      <c r="J30" s="121"/>
      <c r="K30" s="119"/>
      <c r="L30" s="120"/>
      <c r="M30" s="121"/>
      <c r="N30" s="121"/>
      <c r="O30" s="119"/>
      <c r="P30" s="120"/>
      <c r="Q30" s="121"/>
      <c r="R30" s="121"/>
      <c r="S30" s="119"/>
      <c r="T30" s="120"/>
      <c r="U30" s="126"/>
      <c r="V30" s="127"/>
      <c r="W30" s="127"/>
      <c r="X30" s="127"/>
      <c r="Y30" s="127"/>
      <c r="Z30" s="127"/>
      <c r="AA30" s="127"/>
      <c r="AB30" s="127"/>
    </row>
    <row r="31" ht="15.75" customHeight="1">
      <c r="A31" s="108"/>
      <c r="B31" s="122"/>
      <c r="C31" s="110"/>
      <c r="D31" s="110"/>
      <c r="E31" s="117"/>
      <c r="F31" s="125"/>
      <c r="G31" s="119"/>
      <c r="H31" s="128"/>
      <c r="I31" s="121"/>
      <c r="J31" s="121"/>
      <c r="K31" s="119"/>
      <c r="L31" s="128"/>
      <c r="M31" s="121"/>
      <c r="N31" s="121"/>
      <c r="O31" s="119"/>
      <c r="P31" s="128"/>
      <c r="Q31" s="121"/>
      <c r="R31" s="121"/>
      <c r="S31" s="119"/>
      <c r="T31" s="128"/>
      <c r="U31" s="126"/>
      <c r="V31" s="127"/>
      <c r="W31" s="127"/>
      <c r="X31" s="127"/>
      <c r="Y31" s="127"/>
      <c r="Z31" s="127"/>
      <c r="AA31" s="127"/>
      <c r="AB31" s="127"/>
    </row>
    <row r="32" ht="15.75" customHeight="1">
      <c r="A32" s="108"/>
      <c r="B32" s="122"/>
      <c r="C32" s="110"/>
      <c r="D32" s="110"/>
      <c r="E32" s="117"/>
      <c r="F32" s="125"/>
      <c r="G32" s="119"/>
      <c r="H32" s="129"/>
      <c r="I32" s="129"/>
      <c r="J32" s="129"/>
      <c r="K32" s="119"/>
      <c r="L32" s="129"/>
      <c r="M32" s="129"/>
      <c r="N32" s="129"/>
      <c r="O32" s="119"/>
      <c r="P32" s="129"/>
      <c r="Q32" s="129"/>
      <c r="R32" s="129"/>
      <c r="S32" s="119"/>
      <c r="T32" s="129"/>
      <c r="U32" s="127"/>
      <c r="V32" s="127"/>
      <c r="W32" s="127"/>
      <c r="X32" s="127"/>
      <c r="Y32" s="127"/>
      <c r="Z32" s="127"/>
      <c r="AA32" s="127"/>
      <c r="AB32" s="127"/>
    </row>
    <row r="33" ht="15.75" customHeight="1">
      <c r="A33" s="3"/>
      <c r="B33" s="130"/>
      <c r="C33" s="130"/>
      <c r="D33" s="130"/>
      <c r="E33" s="13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/>
      <c r="B34" s="130"/>
      <c r="C34" s="130"/>
      <c r="D34" s="130"/>
      <c r="E34" s="13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/>
      <c r="B35" s="130"/>
      <c r="C35" s="130"/>
      <c r="D35" s="130"/>
      <c r="E35" s="13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/>
      <c r="B36" s="130"/>
      <c r="C36" s="130"/>
      <c r="D36" s="130"/>
      <c r="E36" s="13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/>
      <c r="B37" s="130"/>
      <c r="C37" s="130"/>
      <c r="D37" s="130"/>
      <c r="E37" s="13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/>
      <c r="B38" s="130"/>
      <c r="C38" s="130"/>
      <c r="D38" s="130"/>
      <c r="E38" s="13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/>
      <c r="B39" s="130"/>
      <c r="C39" s="130"/>
      <c r="D39" s="130"/>
      <c r="E39" s="13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/>
      <c r="B40" s="130"/>
      <c r="C40" s="130"/>
      <c r="D40" s="130"/>
      <c r="E40" s="13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/>
      <c r="B41" s="130"/>
      <c r="C41" s="130"/>
      <c r="D41" s="130"/>
      <c r="E41" s="13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/>
      <c r="B42" s="130"/>
      <c r="C42" s="130"/>
      <c r="D42" s="130"/>
      <c r="E42" s="13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/>
      <c r="B43" s="130"/>
      <c r="C43" s="130"/>
      <c r="D43" s="130"/>
      <c r="E43" s="13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/>
      <c r="B44" s="130"/>
      <c r="C44" s="130"/>
      <c r="D44" s="130"/>
      <c r="E44" s="13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/>
      <c r="B45" s="130"/>
      <c r="C45" s="130"/>
      <c r="D45" s="130"/>
      <c r="E45" s="13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/>
      <c r="B46" s="130"/>
      <c r="C46" s="130"/>
      <c r="D46" s="130"/>
      <c r="E46" s="13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130"/>
      <c r="C47" s="130"/>
      <c r="D47" s="130"/>
      <c r="E47" s="13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130"/>
      <c r="C48" s="130"/>
      <c r="D48" s="130"/>
      <c r="E48" s="13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130"/>
      <c r="C49" s="130"/>
      <c r="D49" s="130"/>
      <c r="E49" s="13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130"/>
      <c r="C50" s="130"/>
      <c r="D50" s="130"/>
      <c r="E50" s="13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130"/>
      <c r="C51" s="130"/>
      <c r="D51" s="130"/>
      <c r="E51" s="13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130"/>
      <c r="C52" s="130"/>
      <c r="D52" s="130"/>
      <c r="E52" s="13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130"/>
      <c r="C53" s="130"/>
      <c r="D53" s="130"/>
      <c r="E53" s="13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130"/>
      <c r="C54" s="130"/>
      <c r="D54" s="130"/>
      <c r="E54" s="13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130"/>
      <c r="C55" s="130"/>
      <c r="D55" s="130"/>
      <c r="E55" s="13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130"/>
      <c r="C56" s="130"/>
      <c r="D56" s="130"/>
      <c r="E56" s="13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130"/>
      <c r="C57" s="130"/>
      <c r="D57" s="130"/>
      <c r="E57" s="13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130"/>
      <c r="C58" s="130"/>
      <c r="D58" s="130"/>
      <c r="E58" s="13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130"/>
      <c r="C59" s="130"/>
      <c r="D59" s="130"/>
      <c r="E59" s="13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130"/>
      <c r="C60" s="130"/>
      <c r="D60" s="130"/>
      <c r="E60" s="13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130"/>
      <c r="C61" s="130"/>
      <c r="D61" s="130"/>
      <c r="E61" s="13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130"/>
      <c r="C62" s="130"/>
      <c r="D62" s="130"/>
      <c r="E62" s="13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130"/>
      <c r="C63" s="130"/>
      <c r="D63" s="130"/>
      <c r="E63" s="13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130"/>
      <c r="C64" s="130"/>
      <c r="D64" s="130"/>
      <c r="E64" s="13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130"/>
      <c r="C65" s="130"/>
      <c r="D65" s="130"/>
      <c r="E65" s="13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130"/>
      <c r="C66" s="130"/>
      <c r="D66" s="130"/>
      <c r="E66" s="13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130"/>
      <c r="C67" s="130"/>
      <c r="D67" s="130"/>
      <c r="E67" s="13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130"/>
      <c r="C68" s="130"/>
      <c r="D68" s="130"/>
      <c r="E68" s="13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130"/>
      <c r="C69" s="130"/>
      <c r="D69" s="130"/>
      <c r="E69" s="13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130"/>
      <c r="C70" s="130"/>
      <c r="D70" s="130"/>
      <c r="E70" s="13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130"/>
      <c r="C71" s="130"/>
      <c r="D71" s="130"/>
      <c r="E71" s="13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130"/>
      <c r="C72" s="130"/>
      <c r="D72" s="130"/>
      <c r="E72" s="13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130"/>
      <c r="C73" s="130"/>
      <c r="D73" s="130"/>
      <c r="E73" s="13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130"/>
      <c r="C74" s="130"/>
      <c r="D74" s="130"/>
      <c r="E74" s="13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130"/>
      <c r="C75" s="130"/>
      <c r="D75" s="130"/>
      <c r="E75" s="13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130"/>
      <c r="C76" s="130"/>
      <c r="D76" s="130"/>
      <c r="E76" s="13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130"/>
      <c r="C77" s="130"/>
      <c r="D77" s="130"/>
      <c r="E77" s="13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130"/>
      <c r="C78" s="130"/>
      <c r="D78" s="130"/>
      <c r="E78" s="13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130"/>
      <c r="C79" s="130"/>
      <c r="D79" s="130"/>
      <c r="E79" s="13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130"/>
      <c r="C80" s="130"/>
      <c r="D80" s="130"/>
      <c r="E80" s="13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130"/>
      <c r="C81" s="130"/>
      <c r="D81" s="130"/>
      <c r="E81" s="13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130"/>
      <c r="C82" s="130"/>
      <c r="D82" s="130"/>
      <c r="E82" s="13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130"/>
      <c r="C83" s="130"/>
      <c r="D83" s="130"/>
      <c r="E83" s="13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130"/>
      <c r="C84" s="130"/>
      <c r="D84" s="130"/>
      <c r="E84" s="13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130"/>
      <c r="C85" s="130"/>
      <c r="D85" s="130"/>
      <c r="E85" s="13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130"/>
      <c r="C86" s="130"/>
      <c r="D86" s="130"/>
      <c r="E86" s="13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130"/>
      <c r="C87" s="130"/>
      <c r="D87" s="130"/>
      <c r="E87" s="13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130"/>
      <c r="C88" s="130"/>
      <c r="D88" s="130"/>
      <c r="E88" s="13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130"/>
      <c r="C89" s="130"/>
      <c r="D89" s="130"/>
      <c r="E89" s="13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130"/>
      <c r="C90" s="130"/>
      <c r="D90" s="130"/>
      <c r="E90" s="13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130"/>
      <c r="C91" s="130"/>
      <c r="D91" s="130"/>
      <c r="E91" s="13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130"/>
      <c r="C92" s="130"/>
      <c r="D92" s="130"/>
      <c r="E92" s="13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130"/>
      <c r="C93" s="130"/>
      <c r="D93" s="130"/>
      <c r="E93" s="13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130"/>
      <c r="C94" s="130"/>
      <c r="D94" s="130"/>
      <c r="E94" s="13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130"/>
      <c r="C95" s="130"/>
      <c r="D95" s="130"/>
      <c r="E95" s="13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130"/>
      <c r="C96" s="130"/>
      <c r="D96" s="130"/>
      <c r="E96" s="13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130"/>
      <c r="C97" s="130"/>
      <c r="D97" s="130"/>
      <c r="E97" s="13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130"/>
      <c r="C98" s="130"/>
      <c r="D98" s="130"/>
      <c r="E98" s="13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130"/>
      <c r="C99" s="130"/>
      <c r="D99" s="130"/>
      <c r="E99" s="13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130"/>
      <c r="C100" s="130"/>
      <c r="D100" s="130"/>
      <c r="E100" s="13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130"/>
      <c r="C101" s="130"/>
      <c r="D101" s="130"/>
      <c r="E101" s="13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130"/>
      <c r="C102" s="130"/>
      <c r="D102" s="130"/>
      <c r="E102" s="13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130"/>
      <c r="C103" s="130"/>
      <c r="D103" s="130"/>
      <c r="E103" s="13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130"/>
      <c r="C104" s="130"/>
      <c r="D104" s="130"/>
      <c r="E104" s="13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130"/>
      <c r="C105" s="130"/>
      <c r="D105" s="130"/>
      <c r="E105" s="13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130"/>
      <c r="C106" s="130"/>
      <c r="D106" s="130"/>
      <c r="E106" s="13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130"/>
      <c r="C107" s="130"/>
      <c r="D107" s="130"/>
      <c r="E107" s="13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130"/>
      <c r="C108" s="130"/>
      <c r="D108" s="130"/>
      <c r="E108" s="13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130"/>
      <c r="C109" s="130"/>
      <c r="D109" s="130"/>
      <c r="E109" s="13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130"/>
      <c r="C110" s="130"/>
      <c r="D110" s="130"/>
      <c r="E110" s="13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130"/>
      <c r="C111" s="130"/>
      <c r="D111" s="130"/>
      <c r="E111" s="13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130"/>
      <c r="C112" s="130"/>
      <c r="D112" s="130"/>
      <c r="E112" s="13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130"/>
      <c r="C113" s="130"/>
      <c r="D113" s="130"/>
      <c r="E113" s="13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130"/>
      <c r="C114" s="130"/>
      <c r="D114" s="130"/>
      <c r="E114" s="13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130"/>
      <c r="C115" s="130"/>
      <c r="D115" s="130"/>
      <c r="E115" s="13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130"/>
      <c r="C116" s="130"/>
      <c r="D116" s="130"/>
      <c r="E116" s="13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130"/>
      <c r="C117" s="130"/>
      <c r="D117" s="130"/>
      <c r="E117" s="13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130"/>
      <c r="C118" s="130"/>
      <c r="D118" s="130"/>
      <c r="E118" s="13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130"/>
      <c r="C119" s="130"/>
      <c r="D119" s="130"/>
      <c r="E119" s="13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130"/>
      <c r="C120" s="130"/>
      <c r="D120" s="130"/>
      <c r="E120" s="13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130"/>
      <c r="C121" s="130"/>
      <c r="D121" s="130"/>
      <c r="E121" s="13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130"/>
      <c r="C122" s="130"/>
      <c r="D122" s="130"/>
      <c r="E122" s="13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130"/>
      <c r="C123" s="130"/>
      <c r="D123" s="130"/>
      <c r="E123" s="13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130"/>
      <c r="C124" s="130"/>
      <c r="D124" s="130"/>
      <c r="E124" s="13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130"/>
      <c r="C125" s="130"/>
      <c r="D125" s="130"/>
      <c r="E125" s="13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130"/>
      <c r="C126" s="130"/>
      <c r="D126" s="130"/>
      <c r="E126" s="13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130"/>
      <c r="C127" s="130"/>
      <c r="D127" s="130"/>
      <c r="E127" s="13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130"/>
      <c r="C128" s="130"/>
      <c r="D128" s="130"/>
      <c r="E128" s="13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130"/>
      <c r="C129" s="130"/>
      <c r="D129" s="130"/>
      <c r="E129" s="13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130"/>
      <c r="C130" s="130"/>
      <c r="D130" s="130"/>
      <c r="E130" s="13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130"/>
      <c r="C131" s="130"/>
      <c r="D131" s="130"/>
      <c r="E131" s="13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130"/>
      <c r="C132" s="130"/>
      <c r="D132" s="130"/>
      <c r="E132" s="13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130"/>
      <c r="C133" s="130"/>
      <c r="D133" s="130"/>
      <c r="E133" s="13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130"/>
      <c r="C134" s="130"/>
      <c r="D134" s="130"/>
      <c r="E134" s="13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130"/>
      <c r="C135" s="130"/>
      <c r="D135" s="130"/>
      <c r="E135" s="13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130"/>
      <c r="C136" s="130"/>
      <c r="D136" s="130"/>
      <c r="E136" s="13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130"/>
      <c r="C137" s="130"/>
      <c r="D137" s="130"/>
      <c r="E137" s="13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130"/>
      <c r="C138" s="130"/>
      <c r="D138" s="130"/>
      <c r="E138" s="13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130"/>
      <c r="C139" s="130"/>
      <c r="D139" s="130"/>
      <c r="E139" s="13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130"/>
      <c r="C140" s="130"/>
      <c r="D140" s="130"/>
      <c r="E140" s="13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130"/>
      <c r="C141" s="130"/>
      <c r="D141" s="130"/>
      <c r="E141" s="13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130"/>
      <c r="C142" s="130"/>
      <c r="D142" s="130"/>
      <c r="E142" s="13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130"/>
      <c r="C143" s="130"/>
      <c r="D143" s="130"/>
      <c r="E143" s="13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130"/>
      <c r="C144" s="130"/>
      <c r="D144" s="130"/>
      <c r="E144" s="13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130"/>
      <c r="C145" s="130"/>
      <c r="D145" s="130"/>
      <c r="E145" s="13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130"/>
      <c r="C146" s="130"/>
      <c r="D146" s="130"/>
      <c r="E146" s="13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130"/>
      <c r="C147" s="130"/>
      <c r="D147" s="130"/>
      <c r="E147" s="13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130"/>
      <c r="C148" s="130"/>
      <c r="D148" s="130"/>
      <c r="E148" s="13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130"/>
      <c r="C149" s="130"/>
      <c r="D149" s="130"/>
      <c r="E149" s="13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130"/>
      <c r="C150" s="130"/>
      <c r="D150" s="130"/>
      <c r="E150" s="13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130"/>
      <c r="C151" s="130"/>
      <c r="D151" s="130"/>
      <c r="E151" s="13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130"/>
      <c r="C152" s="130"/>
      <c r="D152" s="130"/>
      <c r="E152" s="13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130"/>
      <c r="C153" s="130"/>
      <c r="D153" s="130"/>
      <c r="E153" s="13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130"/>
      <c r="C154" s="130"/>
      <c r="D154" s="130"/>
      <c r="E154" s="13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130"/>
      <c r="C155" s="130"/>
      <c r="D155" s="130"/>
      <c r="E155" s="13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130"/>
      <c r="C156" s="130"/>
      <c r="D156" s="130"/>
      <c r="E156" s="13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130"/>
      <c r="C157" s="130"/>
      <c r="D157" s="130"/>
      <c r="E157" s="13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130"/>
      <c r="C158" s="130"/>
      <c r="D158" s="130"/>
      <c r="E158" s="13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130"/>
      <c r="C159" s="130"/>
      <c r="D159" s="130"/>
      <c r="E159" s="13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130"/>
      <c r="C160" s="130"/>
      <c r="D160" s="130"/>
      <c r="E160" s="13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130"/>
      <c r="C161" s="130"/>
      <c r="D161" s="130"/>
      <c r="E161" s="13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130"/>
      <c r="C162" s="130"/>
      <c r="D162" s="130"/>
      <c r="E162" s="13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130"/>
      <c r="C163" s="130"/>
      <c r="D163" s="130"/>
      <c r="E163" s="13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130"/>
      <c r="C164" s="130"/>
      <c r="D164" s="130"/>
      <c r="E164" s="13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130"/>
      <c r="C165" s="130"/>
      <c r="D165" s="130"/>
      <c r="E165" s="13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130"/>
      <c r="C166" s="130"/>
      <c r="D166" s="130"/>
      <c r="E166" s="13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130"/>
      <c r="C167" s="130"/>
      <c r="D167" s="130"/>
      <c r="E167" s="13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130"/>
      <c r="C168" s="130"/>
      <c r="D168" s="130"/>
      <c r="E168" s="13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130"/>
      <c r="C169" s="130"/>
      <c r="D169" s="130"/>
      <c r="E169" s="13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130"/>
      <c r="C170" s="130"/>
      <c r="D170" s="130"/>
      <c r="E170" s="13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130"/>
      <c r="C171" s="130"/>
      <c r="D171" s="130"/>
      <c r="E171" s="13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130"/>
      <c r="C172" s="130"/>
      <c r="D172" s="130"/>
      <c r="E172" s="13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130"/>
      <c r="C173" s="130"/>
      <c r="D173" s="130"/>
      <c r="E173" s="13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130"/>
      <c r="C174" s="130"/>
      <c r="D174" s="130"/>
      <c r="E174" s="13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130"/>
      <c r="C175" s="130"/>
      <c r="D175" s="130"/>
      <c r="E175" s="13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130"/>
      <c r="C176" s="130"/>
      <c r="D176" s="130"/>
      <c r="E176" s="13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130"/>
      <c r="C177" s="130"/>
      <c r="D177" s="130"/>
      <c r="E177" s="13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130"/>
      <c r="C178" s="130"/>
      <c r="D178" s="130"/>
      <c r="E178" s="13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130"/>
      <c r="C179" s="130"/>
      <c r="D179" s="130"/>
      <c r="E179" s="13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130"/>
      <c r="C180" s="130"/>
      <c r="D180" s="130"/>
      <c r="E180" s="13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130"/>
      <c r="C181" s="130"/>
      <c r="D181" s="130"/>
      <c r="E181" s="13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130"/>
      <c r="C182" s="130"/>
      <c r="D182" s="130"/>
      <c r="E182" s="13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130"/>
      <c r="C183" s="130"/>
      <c r="D183" s="130"/>
      <c r="E183" s="13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130"/>
      <c r="C184" s="130"/>
      <c r="D184" s="130"/>
      <c r="E184" s="13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130"/>
      <c r="C185" s="130"/>
      <c r="D185" s="130"/>
      <c r="E185" s="13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130"/>
      <c r="C186" s="130"/>
      <c r="D186" s="130"/>
      <c r="E186" s="13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130"/>
      <c r="C187" s="130"/>
      <c r="D187" s="130"/>
      <c r="E187" s="13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130"/>
      <c r="C188" s="130"/>
      <c r="D188" s="130"/>
      <c r="E188" s="13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130"/>
      <c r="C189" s="130"/>
      <c r="D189" s="130"/>
      <c r="E189" s="13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130"/>
      <c r="C190" s="130"/>
      <c r="D190" s="130"/>
      <c r="E190" s="13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130"/>
      <c r="C191" s="130"/>
      <c r="D191" s="130"/>
      <c r="E191" s="13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130"/>
      <c r="C192" s="130"/>
      <c r="D192" s="130"/>
      <c r="E192" s="13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130"/>
      <c r="C193" s="130"/>
      <c r="D193" s="130"/>
      <c r="E193" s="13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130"/>
      <c r="C194" s="130"/>
      <c r="D194" s="130"/>
      <c r="E194" s="13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130"/>
      <c r="C195" s="130"/>
      <c r="D195" s="130"/>
      <c r="E195" s="13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130"/>
      <c r="C196" s="130"/>
      <c r="D196" s="130"/>
      <c r="E196" s="13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130"/>
      <c r="C197" s="130"/>
      <c r="D197" s="130"/>
      <c r="E197" s="13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130"/>
      <c r="C198" s="130"/>
      <c r="D198" s="130"/>
      <c r="E198" s="13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130"/>
      <c r="C199" s="130"/>
      <c r="D199" s="130"/>
      <c r="E199" s="13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130"/>
      <c r="C200" s="130"/>
      <c r="D200" s="130"/>
      <c r="E200" s="13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130"/>
      <c r="C201" s="130"/>
      <c r="D201" s="130"/>
      <c r="E201" s="13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130"/>
      <c r="C202" s="130"/>
      <c r="D202" s="130"/>
      <c r="E202" s="13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130"/>
      <c r="C203" s="130"/>
      <c r="D203" s="130"/>
      <c r="E203" s="13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130"/>
      <c r="C204" s="130"/>
      <c r="D204" s="130"/>
      <c r="E204" s="13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130"/>
      <c r="C205" s="130"/>
      <c r="D205" s="130"/>
      <c r="E205" s="13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130"/>
      <c r="C206" s="130"/>
      <c r="D206" s="130"/>
      <c r="E206" s="13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130"/>
      <c r="C207" s="130"/>
      <c r="D207" s="130"/>
      <c r="E207" s="13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130"/>
      <c r="C208" s="130"/>
      <c r="D208" s="130"/>
      <c r="E208" s="13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130"/>
      <c r="C209" s="130"/>
      <c r="D209" s="130"/>
      <c r="E209" s="13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130"/>
      <c r="C210" s="130"/>
      <c r="D210" s="130"/>
      <c r="E210" s="13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130"/>
      <c r="C211" s="130"/>
      <c r="D211" s="130"/>
      <c r="E211" s="13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130"/>
      <c r="C212" s="130"/>
      <c r="D212" s="130"/>
      <c r="E212" s="13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130"/>
      <c r="C213" s="130"/>
      <c r="D213" s="130"/>
      <c r="E213" s="13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130"/>
      <c r="C214" s="130"/>
      <c r="D214" s="130"/>
      <c r="E214" s="13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130"/>
      <c r="C215" s="130"/>
      <c r="D215" s="130"/>
      <c r="E215" s="13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130"/>
      <c r="C216" s="130"/>
      <c r="D216" s="130"/>
      <c r="E216" s="13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130"/>
      <c r="C217" s="130"/>
      <c r="D217" s="130"/>
      <c r="E217" s="13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130"/>
      <c r="C218" s="130"/>
      <c r="D218" s="130"/>
      <c r="E218" s="13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130"/>
      <c r="C219" s="130"/>
      <c r="D219" s="130"/>
      <c r="E219" s="13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130"/>
      <c r="C220" s="130"/>
      <c r="D220" s="130"/>
      <c r="E220" s="13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130"/>
      <c r="C221" s="130"/>
      <c r="D221" s="130"/>
      <c r="E221" s="13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130"/>
      <c r="C222" s="130"/>
      <c r="D222" s="130"/>
      <c r="E222" s="13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130"/>
      <c r="C223" s="130"/>
      <c r="D223" s="130"/>
      <c r="E223" s="13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130"/>
      <c r="C224" s="130"/>
      <c r="D224" s="130"/>
      <c r="E224" s="13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130"/>
      <c r="C225" s="130"/>
      <c r="D225" s="130"/>
      <c r="E225" s="13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130"/>
      <c r="C226" s="130"/>
      <c r="D226" s="130"/>
      <c r="E226" s="13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130"/>
      <c r="C227" s="130"/>
      <c r="D227" s="130"/>
      <c r="E227" s="13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12"/>
      <c r="B228" s="12"/>
      <c r="C228" s="132"/>
      <c r="D228" s="132"/>
      <c r="E228" s="133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</sheetData>
  <mergeCells count="19">
    <mergeCell ref="B1:D1"/>
    <mergeCell ref="B2:D2"/>
    <mergeCell ref="B3:D3"/>
    <mergeCell ref="B6:D6"/>
    <mergeCell ref="A7:A9"/>
    <mergeCell ref="B7:B9"/>
    <mergeCell ref="C7:C9"/>
    <mergeCell ref="O8:R8"/>
    <mergeCell ref="S8:V8"/>
    <mergeCell ref="W8:Z8"/>
    <mergeCell ref="AA8:AA9"/>
    <mergeCell ref="D7:D9"/>
    <mergeCell ref="E7:E9"/>
    <mergeCell ref="F7:F9"/>
    <mergeCell ref="G7:V7"/>
    <mergeCell ref="W7:AB7"/>
    <mergeCell ref="G8:J8"/>
    <mergeCell ref="K8:N8"/>
    <mergeCell ref="AB8:AB9"/>
  </mergeCells>
  <dataValidations>
    <dataValidation type="list" allowBlank="1" showErrorMessage="1" sqref="W11:Z14 W16:Z17">
      <formula1>"Fail,Pass,Accepted"</formula1>
    </dataValidation>
    <dataValidation type="list" allowBlank="1" showErrorMessage="1" sqref="G11:G14 K11:K14 O11:O14 S11:S14 G16:G32 K16:K32 O16:O32 S16:S32">
      <formula1>"Fail,Pass,Pending,N/A,Untested"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4" t="s">
        <v>92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>
      <c r="A3" s="135"/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>
      <c r="A6" s="135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>
      <c r="A7" s="135"/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>
      <c r="A8" s="135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>
      <c r="A10" s="135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>
      <c r="A11" s="135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>
      <c r="A15" s="135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  <row r="10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</row>
    <row r="10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</row>
    <row r="11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</row>
    <row r="11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</row>
    <row r="113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</row>
    <row r="11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</row>
    <row r="120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</row>
    <row r="12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</row>
    <row r="12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</row>
    <row r="123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</row>
    <row r="12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</row>
    <row r="1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</row>
    <row r="126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</row>
    <row r="127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</row>
    <row r="13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</row>
    <row r="13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</row>
    <row r="133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</row>
    <row r="13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</row>
    <row r="13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</row>
    <row r="136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</row>
    <row r="137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</row>
    <row r="138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</row>
    <row r="139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</row>
    <row r="140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</row>
    <row r="14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</row>
    <row r="14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</row>
    <row r="143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</row>
    <row r="14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</row>
    <row r="14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</row>
    <row r="146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</row>
    <row r="148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</row>
    <row r="149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</row>
    <row r="150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</row>
    <row r="15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</row>
    <row r="15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</row>
    <row r="153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</row>
    <row r="15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</row>
    <row r="15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</row>
    <row r="156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</row>
    <row r="157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</row>
    <row r="158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</row>
    <row r="159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</row>
    <row r="160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</row>
    <row r="16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</row>
    <row r="16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</row>
    <row r="163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</row>
    <row r="16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</row>
    <row r="16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</row>
    <row r="166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</row>
    <row r="167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</row>
    <row r="168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</row>
    <row r="169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</row>
    <row r="170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</row>
    <row r="17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</row>
    <row r="17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</row>
    <row r="173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</row>
    <row r="17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</row>
    <row r="1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</row>
    <row r="176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</row>
    <row r="177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</row>
    <row r="178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</row>
    <row r="179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</row>
    <row r="180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</row>
    <row r="18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</row>
    <row r="18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</row>
    <row r="183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</row>
    <row r="18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</row>
    <row r="18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</row>
    <row r="186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</row>
    <row r="187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</row>
    <row r="188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</row>
    <row r="189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</row>
    <row r="190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</row>
    <row r="19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</row>
    <row r="19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</row>
    <row r="193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</row>
    <row r="19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</row>
    <row r="19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</row>
    <row r="196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</row>
    <row r="197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</row>
    <row r="198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</row>
    <row r="199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</row>
    <row r="200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</row>
    <row r="20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</row>
    <row r="20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</row>
    <row r="203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</row>
    <row r="20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</row>
    <row r="20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</row>
    <row r="206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</row>
    <row r="207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</row>
    <row r="208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</row>
    <row r="209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</row>
    <row r="210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</row>
    <row r="21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</row>
    <row r="21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</row>
    <row r="213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</row>
    <row r="21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</row>
    <row r="21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</row>
    <row r="216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</row>
    <row r="217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</row>
    <row r="219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</row>
    <row r="220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</row>
    <row r="22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</row>
    <row r="22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</row>
    <row r="223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</row>
    <row r="22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</row>
    <row r="2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</row>
    <row r="226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</row>
    <row r="227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</row>
    <row r="228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</row>
    <row r="229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</row>
    <row r="230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</row>
    <row r="23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</row>
    <row r="23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</row>
    <row r="233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</row>
    <row r="23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</row>
    <row r="236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</row>
    <row r="237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</row>
    <row r="238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</row>
    <row r="239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</row>
    <row r="240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</row>
    <row r="24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</row>
    <row r="24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</row>
    <row r="243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</row>
    <row r="24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</row>
    <row r="24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</row>
    <row r="246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</row>
    <row r="247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</row>
    <row r="248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</row>
    <row r="249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</row>
    <row r="250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</row>
    <row r="25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</row>
    <row r="25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</row>
    <row r="253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</row>
    <row r="25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</row>
    <row r="25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</row>
    <row r="256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</row>
    <row r="257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</row>
    <row r="258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</row>
    <row r="259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</row>
    <row r="260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</row>
    <row r="26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</row>
    <row r="26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</row>
    <row r="263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</row>
    <row r="26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</row>
    <row r="26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</row>
    <row r="266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</row>
    <row r="267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</row>
    <row r="268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</row>
    <row r="269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</row>
    <row r="270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</row>
    <row r="27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</row>
    <row r="27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</row>
    <row r="273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</row>
    <row r="27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</row>
    <row r="2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</row>
    <row r="276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</row>
    <row r="277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</row>
    <row r="278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</row>
    <row r="279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</row>
    <row r="280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</row>
    <row r="28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</row>
    <row r="28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</row>
    <row r="283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</row>
    <row r="28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</row>
    <row r="28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</row>
    <row r="286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</row>
    <row r="287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</row>
    <row r="288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</row>
    <row r="289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</row>
    <row r="290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</row>
    <row r="29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</row>
    <row r="29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</row>
    <row r="293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</row>
    <row r="29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</row>
    <row r="29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</row>
    <row r="296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</row>
    <row r="297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</row>
    <row r="298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</row>
    <row r="299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</row>
    <row r="300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</row>
    <row r="30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</row>
    <row r="30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</row>
    <row r="303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</row>
    <row r="30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</row>
    <row r="30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</row>
    <row r="306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</row>
    <row r="307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</row>
    <row r="308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</row>
    <row r="309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</row>
    <row r="310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</row>
    <row r="31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</row>
    <row r="31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</row>
    <row r="313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</row>
    <row r="31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</row>
    <row r="31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</row>
    <row r="316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</row>
    <row r="317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</row>
    <row r="318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</row>
    <row r="319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</row>
    <row r="320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</row>
    <row r="32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</row>
    <row r="32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</row>
    <row r="323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</row>
    <row r="32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</row>
    <row r="3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</row>
    <row r="326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</row>
    <row r="327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</row>
    <row r="328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</row>
    <row r="329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</row>
    <row r="330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</row>
    <row r="33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</row>
    <row r="33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</row>
    <row r="333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</row>
    <row r="33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</row>
    <row r="33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</row>
    <row r="336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</row>
    <row r="337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</row>
    <row r="338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</row>
    <row r="339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</row>
    <row r="340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</row>
    <row r="34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</row>
    <row r="34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</row>
    <row r="343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</row>
    <row r="34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</row>
    <row r="34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</row>
    <row r="346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</row>
    <row r="347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</row>
    <row r="348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</row>
    <row r="349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</row>
    <row r="350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</row>
    <row r="35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</row>
    <row r="35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</row>
    <row r="353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</row>
    <row r="35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</row>
    <row r="35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</row>
    <row r="356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</row>
    <row r="357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</row>
    <row r="358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</row>
    <row r="359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</row>
    <row r="360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</row>
    <row r="36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</row>
    <row r="36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</row>
    <row r="363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</row>
    <row r="36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</row>
    <row r="36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</row>
    <row r="366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</row>
    <row r="367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</row>
    <row r="368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</row>
    <row r="369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</row>
    <row r="370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</row>
    <row r="37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</row>
    <row r="37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</row>
    <row r="373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</row>
    <row r="37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</row>
    <row r="3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</row>
    <row r="376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</row>
    <row r="377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</row>
    <row r="378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</row>
    <row r="379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</row>
    <row r="380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</row>
    <row r="38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</row>
    <row r="38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</row>
    <row r="383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</row>
    <row r="38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</row>
    <row r="38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</row>
    <row r="386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</row>
    <row r="387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</row>
    <row r="388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</row>
    <row r="389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</row>
    <row r="390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</row>
    <row r="39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</row>
    <row r="39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</row>
    <row r="393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</row>
    <row r="39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</row>
    <row r="39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</row>
    <row r="396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</row>
    <row r="397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</row>
    <row r="398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</row>
    <row r="399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</row>
    <row r="400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</row>
    <row r="40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</row>
    <row r="40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</row>
    <row r="403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</row>
    <row r="40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</row>
    <row r="40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</row>
    <row r="406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</row>
    <row r="407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</row>
    <row r="408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</row>
    <row r="409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</row>
    <row r="410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</row>
    <row r="41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</row>
    <row r="41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</row>
    <row r="413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</row>
    <row r="41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</row>
    <row r="41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</row>
    <row r="416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</row>
    <row r="417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</row>
    <row r="418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</row>
    <row r="419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</row>
    <row r="420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</row>
    <row r="42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</row>
    <row r="42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</row>
    <row r="423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</row>
    <row r="42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</row>
    <row r="4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</row>
    <row r="426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</row>
    <row r="427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</row>
    <row r="428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</row>
    <row r="429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</row>
    <row r="430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</row>
    <row r="43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</row>
    <row r="43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</row>
    <row r="433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</row>
    <row r="43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</row>
    <row r="43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</row>
    <row r="436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</row>
    <row r="437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</row>
    <row r="438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</row>
    <row r="439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</row>
    <row r="440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</row>
    <row r="44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</row>
    <row r="44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</row>
    <row r="443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</row>
    <row r="44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</row>
    <row r="44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</row>
    <row r="446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</row>
    <row r="447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</row>
    <row r="448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</row>
    <row r="449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</row>
    <row r="450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</row>
    <row r="45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</row>
    <row r="45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</row>
    <row r="453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</row>
    <row r="45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</row>
    <row r="45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</row>
    <row r="456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</row>
    <row r="457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</row>
    <row r="458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</row>
    <row r="459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</row>
    <row r="460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</row>
    <row r="46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</row>
    <row r="46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</row>
    <row r="463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</row>
    <row r="46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</row>
    <row r="46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</row>
    <row r="466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</row>
    <row r="467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</row>
    <row r="468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</row>
    <row r="469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</row>
    <row r="470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</row>
    <row r="47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</row>
    <row r="47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</row>
    <row r="473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</row>
    <row r="47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</row>
    <row r="4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</row>
    <row r="476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</row>
    <row r="477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</row>
    <row r="478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</row>
    <row r="479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</row>
    <row r="480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</row>
    <row r="48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</row>
    <row r="48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</row>
    <row r="483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</row>
    <row r="48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</row>
    <row r="48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</row>
    <row r="486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</row>
    <row r="487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</row>
    <row r="488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</row>
    <row r="489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</row>
    <row r="490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</row>
    <row r="49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</row>
    <row r="49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</row>
    <row r="493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</row>
    <row r="49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</row>
    <row r="49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</row>
    <row r="496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</row>
    <row r="497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</row>
    <row r="498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</row>
    <row r="499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</row>
    <row r="500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</row>
    <row r="50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</row>
    <row r="50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</row>
    <row r="503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</row>
    <row r="50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</row>
    <row r="50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</row>
    <row r="506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</row>
    <row r="507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</row>
    <row r="508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</row>
    <row r="509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</row>
    <row r="510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</row>
    <row r="51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</row>
    <row r="51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</row>
    <row r="513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</row>
    <row r="51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</row>
    <row r="51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</row>
    <row r="516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</row>
    <row r="517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</row>
    <row r="518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</row>
    <row r="519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</row>
    <row r="520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</row>
    <row r="52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</row>
    <row r="52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</row>
    <row r="523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</row>
    <row r="52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</row>
    <row r="5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</row>
    <row r="526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</row>
    <row r="527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</row>
    <row r="528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</row>
    <row r="529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</row>
    <row r="530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</row>
    <row r="53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</row>
    <row r="53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</row>
    <row r="533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</row>
    <row r="53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</row>
    <row r="53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</row>
    <row r="536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</row>
    <row r="537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</row>
    <row r="538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</row>
    <row r="539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</row>
    <row r="540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</row>
    <row r="54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</row>
    <row r="54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</row>
    <row r="543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</row>
    <row r="54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</row>
    <row r="54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</row>
    <row r="546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</row>
    <row r="547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</row>
    <row r="548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</row>
    <row r="549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</row>
    <row r="550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</row>
    <row r="55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</row>
    <row r="55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</row>
    <row r="553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</row>
    <row r="55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</row>
    <row r="55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</row>
    <row r="556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</row>
    <row r="557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</row>
    <row r="558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</row>
    <row r="559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</row>
    <row r="560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</row>
    <row r="56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</row>
    <row r="56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</row>
    <row r="563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</row>
    <row r="56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</row>
    <row r="56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</row>
    <row r="566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</row>
    <row r="567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</row>
    <row r="568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</row>
    <row r="569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</row>
    <row r="570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</row>
    <row r="57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</row>
    <row r="57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</row>
    <row r="573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</row>
    <row r="57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</row>
    <row r="5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</row>
    <row r="576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</row>
    <row r="577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</row>
    <row r="578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</row>
    <row r="579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</row>
    <row r="580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</row>
    <row r="58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</row>
    <row r="58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</row>
    <row r="583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</row>
    <row r="58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</row>
    <row r="58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</row>
    <row r="586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</row>
    <row r="587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</row>
    <row r="588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</row>
    <row r="589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</row>
    <row r="590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</row>
    <row r="59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</row>
    <row r="59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</row>
    <row r="593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</row>
    <row r="59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</row>
    <row r="59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</row>
    <row r="596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</row>
    <row r="597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</row>
    <row r="598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</row>
    <row r="599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</row>
    <row r="600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</row>
    <row r="60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</row>
    <row r="60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</row>
    <row r="603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</row>
    <row r="60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</row>
    <row r="60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</row>
    <row r="606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</row>
    <row r="607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</row>
    <row r="608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</row>
    <row r="609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</row>
    <row r="610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</row>
    <row r="61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</row>
    <row r="61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</row>
    <row r="613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</row>
    <row r="614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</row>
    <row r="61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</row>
    <row r="616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</row>
    <row r="617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</row>
    <row r="618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</row>
    <row r="619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</row>
    <row r="620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</row>
    <row r="62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</row>
    <row r="622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</row>
    <row r="623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</row>
    <row r="624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</row>
    <row r="62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</row>
    <row r="626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</row>
    <row r="627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</row>
    <row r="628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</row>
    <row r="629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</row>
    <row r="630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</row>
    <row r="63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</row>
    <row r="632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</row>
    <row r="633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</row>
    <row r="634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</row>
    <row r="63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</row>
    <row r="636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</row>
    <row r="637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</row>
    <row r="638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</row>
    <row r="639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</row>
    <row r="640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</row>
    <row r="64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</row>
    <row r="642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</row>
    <row r="643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</row>
    <row r="644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</row>
    <row r="64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</row>
    <row r="646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</row>
    <row r="647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</row>
    <row r="648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</row>
    <row r="649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</row>
    <row r="650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</row>
    <row r="65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</row>
    <row r="652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</row>
    <row r="653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</row>
    <row r="654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</row>
    <row r="65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</row>
    <row r="656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</row>
    <row r="657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</row>
    <row r="658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</row>
    <row r="659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</row>
    <row r="660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</row>
    <row r="66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</row>
    <row r="662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</row>
    <row r="663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</row>
    <row r="664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</row>
    <row r="66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</row>
    <row r="666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</row>
    <row r="667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</row>
    <row r="668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</row>
    <row r="669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</row>
    <row r="670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</row>
    <row r="67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</row>
    <row r="67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</row>
    <row r="673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</row>
    <row r="674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</row>
    <row r="6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</row>
    <row r="676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</row>
    <row r="677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</row>
    <row r="678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</row>
    <row r="679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</row>
    <row r="680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</row>
    <row r="68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</row>
    <row r="682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</row>
    <row r="683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</row>
    <row r="684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</row>
    <row r="68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</row>
    <row r="686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</row>
    <row r="687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</row>
    <row r="688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</row>
    <row r="689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</row>
    <row r="690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</row>
    <row r="69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</row>
    <row r="692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</row>
    <row r="693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</row>
    <row r="694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</row>
    <row r="69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</row>
    <row r="696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</row>
    <row r="697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</row>
    <row r="698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</row>
    <row r="699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</row>
    <row r="700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</row>
    <row r="70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</row>
    <row r="702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</row>
    <row r="703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</row>
    <row r="704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</row>
    <row r="70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</row>
    <row r="706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</row>
    <row r="707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</row>
    <row r="708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</row>
    <row r="709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</row>
    <row r="710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</row>
    <row r="71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</row>
    <row r="712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</row>
    <row r="713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</row>
    <row r="714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</row>
    <row r="71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</row>
    <row r="716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</row>
    <row r="717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</row>
    <row r="718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</row>
    <row r="719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</row>
    <row r="720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</row>
    <row r="72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</row>
    <row r="722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</row>
    <row r="723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</row>
    <row r="724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</row>
    <row r="72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</row>
    <row r="726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</row>
    <row r="727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</row>
    <row r="728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</row>
    <row r="729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</row>
    <row r="730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</row>
    <row r="73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</row>
    <row r="732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</row>
    <row r="733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</row>
    <row r="734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</row>
    <row r="73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</row>
    <row r="736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</row>
    <row r="737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</row>
    <row r="738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</row>
    <row r="739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</row>
    <row r="740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</row>
    <row r="74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</row>
    <row r="742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</row>
    <row r="743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</row>
    <row r="744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</row>
    <row r="74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</row>
    <row r="746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</row>
    <row r="747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</row>
    <row r="748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</row>
    <row r="749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</row>
    <row r="750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</row>
    <row r="75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</row>
    <row r="752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</row>
    <row r="753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</row>
    <row r="754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</row>
    <row r="75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</row>
    <row r="756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</row>
    <row r="757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</row>
    <row r="758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</row>
    <row r="759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</row>
    <row r="760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</row>
    <row r="76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</row>
    <row r="762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</row>
    <row r="763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</row>
    <row r="764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</row>
    <row r="76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</row>
    <row r="766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</row>
    <row r="767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</row>
    <row r="768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</row>
    <row r="769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</row>
    <row r="770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</row>
    <row r="77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</row>
    <row r="772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</row>
    <row r="773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</row>
    <row r="774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</row>
    <row r="7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</row>
    <row r="776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</row>
    <row r="777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</row>
    <row r="778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</row>
    <row r="779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</row>
    <row r="780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</row>
    <row r="78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</row>
    <row r="782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</row>
    <row r="783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</row>
    <row r="784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</row>
    <row r="78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</row>
    <row r="786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</row>
    <row r="787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</row>
    <row r="788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</row>
    <row r="789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</row>
    <row r="790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</row>
    <row r="79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</row>
    <row r="792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</row>
    <row r="793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</row>
    <row r="794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</row>
    <row r="79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</row>
    <row r="796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</row>
    <row r="797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</row>
    <row r="798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</row>
    <row r="799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</row>
    <row r="800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</row>
    <row r="80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</row>
    <row r="802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</row>
    <row r="803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</row>
    <row r="804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</row>
    <row r="80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</row>
    <row r="806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</row>
    <row r="807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</row>
    <row r="808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</row>
    <row r="809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</row>
    <row r="810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</row>
    <row r="81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</row>
    <row r="812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</row>
    <row r="813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</row>
    <row r="814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</row>
    <row r="81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</row>
    <row r="816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</row>
    <row r="817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</row>
    <row r="818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</row>
    <row r="819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</row>
    <row r="820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</row>
    <row r="82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</row>
    <row r="822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</row>
    <row r="823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</row>
    <row r="824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</row>
    <row r="82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</row>
    <row r="826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</row>
    <row r="827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</row>
    <row r="828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</row>
    <row r="829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</row>
    <row r="830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</row>
    <row r="83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</row>
    <row r="832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</row>
    <row r="833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</row>
    <row r="834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</row>
    <row r="83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</row>
    <row r="836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</row>
    <row r="837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</row>
    <row r="838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</row>
    <row r="839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</row>
    <row r="840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</row>
    <row r="84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</row>
    <row r="842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</row>
    <row r="843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</row>
    <row r="844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</row>
    <row r="84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</row>
    <row r="846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</row>
    <row r="847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</row>
    <row r="848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</row>
    <row r="849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</row>
    <row r="850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</row>
    <row r="85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</row>
    <row r="852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</row>
    <row r="853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</row>
    <row r="854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</row>
    <row r="85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</row>
    <row r="856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</row>
    <row r="857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</row>
    <row r="858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</row>
    <row r="859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</row>
    <row r="860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</row>
    <row r="86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</row>
    <row r="862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</row>
    <row r="863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</row>
    <row r="864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</row>
    <row r="86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</row>
    <row r="866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</row>
    <row r="867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</row>
    <row r="868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</row>
    <row r="869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</row>
    <row r="870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</row>
    <row r="87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</row>
    <row r="872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</row>
    <row r="873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</row>
    <row r="874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</row>
    <row r="8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</row>
    <row r="876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</row>
    <row r="877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</row>
    <row r="878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</row>
    <row r="879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</row>
    <row r="880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</row>
    <row r="88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</row>
    <row r="882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</row>
    <row r="883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</row>
    <row r="884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</row>
    <row r="88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</row>
    <row r="886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</row>
    <row r="887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</row>
    <row r="888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</row>
    <row r="889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</row>
    <row r="890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</row>
    <row r="89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</row>
    <row r="892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</row>
    <row r="893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</row>
    <row r="894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</row>
    <row r="89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</row>
    <row r="896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</row>
    <row r="897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</row>
    <row r="898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</row>
    <row r="899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</row>
    <row r="900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</row>
    <row r="90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</row>
    <row r="902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</row>
    <row r="903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</row>
    <row r="904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</row>
    <row r="90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</row>
    <row r="906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</row>
    <row r="907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</row>
    <row r="908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</row>
    <row r="909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</row>
    <row r="910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</row>
    <row r="91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</row>
    <row r="912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</row>
    <row r="913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</row>
    <row r="914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</row>
    <row r="91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</row>
    <row r="916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</row>
    <row r="917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</row>
    <row r="918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</row>
    <row r="919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</row>
    <row r="920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</row>
    <row r="92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</row>
    <row r="922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</row>
    <row r="923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</row>
    <row r="924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</row>
    <row r="92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</row>
    <row r="926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</row>
    <row r="927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</row>
    <row r="928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</row>
    <row r="929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</row>
    <row r="930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</row>
    <row r="931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</row>
    <row r="932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</row>
    <row r="933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</row>
    <row r="934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</row>
    <row r="935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</row>
    <row r="936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</row>
    <row r="937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</row>
    <row r="938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</row>
    <row r="939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</row>
    <row r="940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</row>
    <row r="941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</row>
    <row r="942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</row>
    <row r="943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</row>
    <row r="944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</row>
    <row r="945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</row>
    <row r="946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</row>
    <row r="947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</row>
    <row r="948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</row>
    <row r="949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</row>
    <row r="950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</row>
    <row r="951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</row>
    <row r="952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</row>
    <row r="953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</row>
    <row r="954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</row>
    <row r="955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</row>
    <row r="956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</row>
    <row r="957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</row>
    <row r="958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</row>
    <row r="959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</row>
    <row r="960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</row>
    <row r="961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</row>
    <row r="962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</row>
    <row r="963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</row>
    <row r="964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</row>
    <row r="965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</row>
    <row r="966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</row>
    <row r="967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</row>
    <row r="968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</row>
    <row r="969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</row>
    <row r="970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</row>
    <row r="971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</row>
    <row r="972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</row>
    <row r="973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</row>
    <row r="974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</row>
    <row r="975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</row>
    <row r="976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</row>
    <row r="977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</row>
    <row r="978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</row>
    <row r="979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</row>
    <row r="980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</row>
    <row r="981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</row>
    <row r="982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</row>
    <row r="983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</row>
    <row r="984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</row>
    <row r="985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</row>
    <row r="986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</row>
    <row r="987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</row>
    <row r="988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</row>
    <row r="989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</row>
    <row r="990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</row>
    <row r="991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</row>
    <row r="992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</row>
    <row r="993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</row>
    <row r="994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</row>
    <row r="995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</row>
    <row r="996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</row>
    <row r="997">
      <c r="A997" s="135"/>
      <c r="B997" s="135"/>
      <c r="C997" s="135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</row>
    <row r="998">
      <c r="A998" s="135"/>
      <c r="B998" s="135"/>
      <c r="C998" s="135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</row>
    <row r="999">
      <c r="A999" s="135"/>
      <c r="B999" s="135"/>
      <c r="C999" s="135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</row>
    <row r="1000">
      <c r="A1000" s="135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